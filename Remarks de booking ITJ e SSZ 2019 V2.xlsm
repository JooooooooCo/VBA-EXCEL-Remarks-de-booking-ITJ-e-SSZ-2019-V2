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hidePivotFieldList="1" defaultThemeVersion="124226"/>
  <bookViews>
    <workbookView xWindow="120" yWindow="210" windowWidth="20610" windowHeight="11625"/>
  </bookViews>
  <sheets>
    <sheet name="Booking Dinamica" sheetId="7" r:id="rId1"/>
    <sheet name="Booking" sheetId="10" r:id="rId2"/>
    <sheet name="Vessel " sheetId="8" r:id="rId3"/>
    <sheet name="Imo Cargo - Carga Aprovada" sheetId="9" r:id="rId4"/>
  </sheets>
  <definedNames>
    <definedName name="_xlnm._FilterDatabase" localSheetId="1" hidden="1">Booking!$A$2:$L$57</definedName>
    <definedName name="_xlnm._FilterDatabase" localSheetId="0" hidden="1">'Booking Dinamica'!$A$1:$B$499</definedName>
    <definedName name="_xlnm._FilterDatabase" localSheetId="2" hidden="1">'Vessel '!$A$1:$I$8</definedName>
    <definedName name="COUNTRY">#REF!</definedName>
    <definedName name="FILTROS">#REF!</definedName>
    <definedName name="PAIS">#REF!</definedName>
    <definedName name="SegmentaçãodeDados_Categoria">#N/A</definedName>
    <definedName name="SegmentaçãodeDados_Confirmação___Amendment">#N/A</definedName>
    <definedName name="SegmentaçãodeDados_Etapa">#N/A</definedName>
    <definedName name="SegmentaçãodeDados_Qual_a_restrição?">#N/A</definedName>
  </definedNames>
  <calcPr calcId="145621" concurrentCalc="0"/>
  <pivotCaches>
    <pivotCache cacheId="26"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L57" i="10" l="1"/>
  <c r="L56" i="10"/>
  <c r="L55" i="10"/>
  <c r="L54" i="10"/>
  <c r="L53" i="10"/>
  <c r="A6" i="7"/>
  <c r="A5" i="7"/>
  <c r="A2" i="7"/>
  <c r="A498" i="7"/>
  <c r="A497" i="7"/>
  <c r="A496" i="7"/>
  <c r="A495" i="7"/>
  <c r="A494" i="7"/>
  <c r="A492" i="7"/>
  <c r="A491" i="7"/>
  <c r="A490" i="7"/>
  <c r="A489" i="7"/>
  <c r="A488" i="7"/>
  <c r="A486" i="7"/>
  <c r="A485" i="7"/>
  <c r="A484" i="7"/>
  <c r="A483" i="7"/>
  <c r="A482" i="7"/>
  <c r="A480" i="7"/>
  <c r="A479" i="7"/>
  <c r="A478" i="7"/>
  <c r="A477" i="7"/>
  <c r="A476" i="7"/>
  <c r="A474" i="7"/>
  <c r="A473" i="7"/>
  <c r="A472" i="7"/>
  <c r="A471" i="7"/>
  <c r="A470" i="7"/>
  <c r="A468" i="7"/>
  <c r="A467" i="7"/>
  <c r="A466" i="7"/>
  <c r="A465" i="7"/>
  <c r="A464" i="7"/>
  <c r="A462" i="7"/>
  <c r="A461" i="7"/>
  <c r="A460" i="7"/>
  <c r="A459" i="7"/>
  <c r="A458" i="7"/>
  <c r="A456" i="7"/>
  <c r="A455" i="7"/>
  <c r="A454" i="7"/>
  <c r="A453" i="7"/>
  <c r="A452" i="7"/>
  <c r="A450" i="7"/>
  <c r="A449" i="7"/>
  <c r="A448" i="7"/>
  <c r="A447" i="7"/>
  <c r="A446" i="7"/>
  <c r="A444" i="7"/>
  <c r="A443" i="7"/>
  <c r="A442" i="7"/>
  <c r="A441" i="7"/>
  <c r="A440" i="7"/>
  <c r="A438" i="7"/>
  <c r="A437" i="7"/>
  <c r="A436" i="7"/>
  <c r="A435" i="7"/>
  <c r="A434" i="7"/>
  <c r="A432" i="7"/>
  <c r="A431" i="7"/>
  <c r="A430" i="7"/>
  <c r="A429" i="7"/>
  <c r="A428" i="7"/>
  <c r="A426" i="7"/>
  <c r="A425" i="7"/>
  <c r="A424" i="7"/>
  <c r="A423" i="7"/>
  <c r="A422" i="7"/>
  <c r="A420" i="7"/>
  <c r="A419" i="7"/>
  <c r="A418" i="7"/>
  <c r="A417" i="7"/>
  <c r="A416" i="7"/>
  <c r="A414" i="7"/>
  <c r="A413" i="7"/>
  <c r="A412" i="7"/>
  <c r="A411" i="7"/>
  <c r="A410" i="7"/>
  <c r="A408" i="7"/>
  <c r="A407" i="7"/>
  <c r="A406" i="7"/>
  <c r="A405" i="7"/>
  <c r="A404" i="7"/>
  <c r="A402" i="7"/>
  <c r="A401" i="7"/>
  <c r="A400" i="7"/>
  <c r="A399" i="7"/>
  <c r="A398" i="7"/>
  <c r="A396" i="7"/>
  <c r="A395" i="7"/>
  <c r="A394" i="7"/>
  <c r="A393" i="7"/>
  <c r="A392" i="7"/>
  <c r="A390" i="7"/>
  <c r="A389" i="7"/>
  <c r="A388" i="7"/>
  <c r="A387" i="7"/>
  <c r="A386" i="7"/>
  <c r="A384" i="7"/>
  <c r="A383" i="7"/>
  <c r="A382" i="7"/>
  <c r="A381" i="7"/>
  <c r="A380" i="7"/>
  <c r="A378" i="7"/>
  <c r="A377" i="7"/>
  <c r="A376" i="7"/>
  <c r="A375" i="7"/>
  <c r="A374" i="7"/>
  <c r="A372" i="7"/>
  <c r="A371" i="7"/>
  <c r="A370" i="7"/>
  <c r="A369" i="7"/>
  <c r="A368" i="7"/>
  <c r="A366" i="7"/>
  <c r="A365" i="7"/>
  <c r="A364" i="7"/>
  <c r="A363" i="7"/>
  <c r="A362" i="7"/>
  <c r="A360" i="7"/>
  <c r="A359" i="7"/>
  <c r="A358" i="7"/>
  <c r="A357" i="7"/>
  <c r="A356" i="7"/>
  <c r="A354" i="7"/>
  <c r="A353" i="7"/>
  <c r="A352" i="7"/>
  <c r="A351" i="7"/>
  <c r="A350" i="7"/>
  <c r="A348" i="7"/>
  <c r="A347" i="7"/>
  <c r="A346" i="7"/>
  <c r="A345" i="7"/>
  <c r="A344" i="7"/>
  <c r="A342" i="7"/>
  <c r="A341" i="7"/>
  <c r="A340" i="7"/>
  <c r="A339" i="7"/>
  <c r="A338" i="7"/>
  <c r="A336" i="7"/>
  <c r="A335" i="7"/>
  <c r="A334" i="7"/>
  <c r="A333" i="7"/>
  <c r="A332" i="7"/>
  <c r="A330" i="7"/>
  <c r="A329" i="7"/>
  <c r="A328" i="7"/>
  <c r="A327" i="7"/>
  <c r="A326" i="7"/>
  <c r="A324" i="7"/>
  <c r="A323" i="7"/>
  <c r="A322" i="7"/>
  <c r="A321" i="7"/>
  <c r="A320" i="7"/>
  <c r="A318" i="7"/>
  <c r="A317" i="7"/>
  <c r="A316" i="7"/>
  <c r="A315" i="7"/>
  <c r="A314" i="7"/>
  <c r="A312" i="7"/>
  <c r="A311" i="7"/>
  <c r="A310" i="7"/>
  <c r="A309" i="7"/>
  <c r="A308" i="7"/>
  <c r="A306" i="7"/>
  <c r="A305" i="7"/>
  <c r="A304" i="7"/>
  <c r="A303" i="7"/>
  <c r="A302" i="7"/>
  <c r="A300" i="7"/>
  <c r="A299" i="7"/>
  <c r="A298" i="7"/>
  <c r="A297" i="7"/>
  <c r="A296" i="7"/>
  <c r="A294" i="7"/>
  <c r="A293" i="7"/>
  <c r="A292" i="7"/>
  <c r="A291" i="7"/>
  <c r="A290" i="7"/>
  <c r="A288" i="7"/>
  <c r="A287" i="7"/>
  <c r="A286" i="7"/>
  <c r="A285" i="7"/>
  <c r="A284" i="7"/>
  <c r="A282" i="7"/>
  <c r="A281" i="7"/>
  <c r="A280" i="7"/>
  <c r="A279" i="7"/>
  <c r="A278" i="7"/>
  <c r="A276" i="7"/>
  <c r="A275" i="7"/>
  <c r="A274" i="7"/>
  <c r="A273" i="7"/>
  <c r="A272" i="7"/>
  <c r="A270" i="7"/>
  <c r="A269" i="7"/>
  <c r="A268" i="7"/>
  <c r="A267" i="7"/>
  <c r="A266" i="7"/>
  <c r="A264" i="7"/>
  <c r="A263" i="7"/>
  <c r="A262" i="7"/>
  <c r="A261" i="7"/>
  <c r="A260" i="7"/>
  <c r="A258" i="7"/>
  <c r="A257" i="7"/>
  <c r="A256" i="7"/>
  <c r="A255" i="7"/>
  <c r="A254" i="7"/>
  <c r="A252" i="7"/>
  <c r="A251" i="7"/>
  <c r="A250" i="7"/>
  <c r="A249" i="7"/>
  <c r="A248" i="7"/>
  <c r="A246" i="7"/>
  <c r="A245" i="7"/>
  <c r="A244" i="7"/>
  <c r="A243" i="7"/>
  <c r="A242" i="7"/>
  <c r="A240" i="7"/>
  <c r="A239" i="7"/>
  <c r="A238" i="7"/>
  <c r="A237" i="7"/>
  <c r="A236" i="7"/>
  <c r="A234" i="7"/>
  <c r="A233" i="7"/>
  <c r="A232" i="7"/>
  <c r="A231" i="7"/>
  <c r="A230" i="7"/>
  <c r="A228" i="7"/>
  <c r="A227" i="7"/>
  <c r="A226" i="7"/>
  <c r="A225" i="7"/>
  <c r="A224" i="7"/>
  <c r="A222" i="7"/>
  <c r="A221" i="7"/>
  <c r="A220" i="7"/>
  <c r="A219" i="7"/>
  <c r="A218" i="7"/>
  <c r="A216" i="7"/>
  <c r="A215" i="7"/>
  <c r="A214" i="7"/>
  <c r="A213" i="7"/>
  <c r="A212" i="7"/>
  <c r="A210" i="7"/>
  <c r="A209" i="7"/>
  <c r="A208" i="7"/>
  <c r="A207" i="7"/>
  <c r="A206" i="7"/>
  <c r="A204" i="7"/>
  <c r="A203" i="7"/>
  <c r="A202" i="7"/>
  <c r="A201" i="7"/>
  <c r="A200" i="7"/>
  <c r="A198" i="7"/>
  <c r="A197" i="7"/>
  <c r="A196" i="7"/>
  <c r="A195" i="7"/>
  <c r="A194" i="7"/>
  <c r="A192" i="7"/>
  <c r="A191" i="7"/>
  <c r="A190" i="7"/>
  <c r="A189" i="7"/>
  <c r="A188" i="7"/>
  <c r="A186" i="7"/>
  <c r="A185" i="7"/>
  <c r="A184" i="7"/>
  <c r="A183" i="7"/>
  <c r="A182" i="7"/>
  <c r="A180" i="7"/>
  <c r="A179" i="7"/>
  <c r="A178" i="7"/>
  <c r="A177" i="7"/>
  <c r="A176" i="7"/>
  <c r="A174" i="7"/>
  <c r="A173" i="7"/>
  <c r="A172" i="7"/>
  <c r="A171" i="7"/>
  <c r="A170" i="7"/>
  <c r="A168" i="7"/>
  <c r="A167" i="7"/>
  <c r="A166" i="7"/>
  <c r="A165" i="7"/>
  <c r="A164" i="7"/>
  <c r="A162" i="7"/>
  <c r="A161" i="7"/>
  <c r="A160" i="7"/>
  <c r="A159" i="7"/>
  <c r="A158" i="7"/>
  <c r="A156" i="7"/>
  <c r="A155" i="7"/>
  <c r="A154" i="7"/>
  <c r="A153" i="7"/>
  <c r="A152" i="7"/>
  <c r="A150" i="7"/>
  <c r="A149" i="7"/>
  <c r="A148" i="7"/>
  <c r="A147" i="7"/>
  <c r="A146" i="7"/>
  <c r="A144" i="7"/>
  <c r="A143" i="7"/>
  <c r="A142" i="7"/>
  <c r="A141" i="7"/>
  <c r="A140" i="7"/>
  <c r="A138" i="7"/>
  <c r="A137" i="7"/>
  <c r="A136" i="7"/>
  <c r="A135" i="7"/>
  <c r="A134" i="7"/>
  <c r="A132" i="7"/>
  <c r="A131" i="7"/>
  <c r="A130" i="7"/>
  <c r="A129" i="7"/>
  <c r="A128" i="7"/>
  <c r="A126" i="7"/>
  <c r="A125" i="7"/>
  <c r="A124" i="7"/>
  <c r="A123" i="7"/>
  <c r="A122" i="7"/>
  <c r="A120" i="7"/>
  <c r="A119" i="7"/>
  <c r="A118" i="7"/>
  <c r="A117" i="7"/>
  <c r="A116" i="7"/>
  <c r="A114" i="7"/>
  <c r="A113" i="7"/>
  <c r="A112" i="7"/>
  <c r="A111" i="7"/>
  <c r="A110" i="7"/>
  <c r="A108" i="7"/>
  <c r="A107" i="7"/>
  <c r="A106" i="7"/>
  <c r="A105" i="7"/>
  <c r="A104" i="7"/>
  <c r="A102" i="7"/>
  <c r="A101" i="7"/>
  <c r="A100" i="7"/>
  <c r="A99" i="7"/>
  <c r="A98" i="7"/>
  <c r="A96" i="7"/>
  <c r="A95" i="7"/>
  <c r="A94" i="7"/>
  <c r="A93" i="7"/>
  <c r="A92" i="7"/>
  <c r="A90" i="7"/>
  <c r="A89" i="7"/>
  <c r="A88" i="7"/>
  <c r="A87" i="7"/>
  <c r="A86" i="7"/>
  <c r="A84" i="7"/>
  <c r="A83" i="7"/>
  <c r="A82" i="7"/>
  <c r="A81" i="7"/>
  <c r="A80" i="7"/>
  <c r="A78" i="7"/>
  <c r="A77" i="7"/>
  <c r="A76" i="7"/>
  <c r="A75" i="7"/>
  <c r="A74" i="7"/>
  <c r="A72" i="7"/>
  <c r="A71" i="7"/>
  <c r="A70" i="7"/>
  <c r="A69" i="7"/>
  <c r="A68" i="7"/>
  <c r="A66" i="7"/>
  <c r="A65" i="7"/>
  <c r="A64" i="7"/>
  <c r="A63" i="7"/>
  <c r="A62" i="7"/>
  <c r="A60" i="7"/>
  <c r="A59" i="7"/>
  <c r="A58" i="7"/>
  <c r="A57" i="7"/>
  <c r="A56" i="7"/>
  <c r="A54" i="7"/>
  <c r="A53" i="7"/>
  <c r="A52" i="7"/>
  <c r="A51" i="7"/>
  <c r="A50" i="7"/>
  <c r="A48" i="7"/>
  <c r="A47" i="7"/>
  <c r="A46" i="7"/>
  <c r="A45" i="7"/>
  <c r="A44" i="7"/>
  <c r="A42" i="7"/>
  <c r="A41" i="7"/>
  <c r="A40" i="7"/>
  <c r="A39" i="7"/>
  <c r="A38" i="7"/>
  <c r="A36" i="7"/>
  <c r="A35" i="7"/>
  <c r="A34" i="7"/>
  <c r="A33" i="7"/>
  <c r="A32" i="7"/>
  <c r="A30" i="7"/>
  <c r="A29" i="7"/>
  <c r="A28" i="7"/>
  <c r="A27" i="7"/>
  <c r="A26" i="7"/>
  <c r="A24" i="7"/>
  <c r="A23" i="7"/>
  <c r="A22" i="7"/>
  <c r="A21" i="7"/>
  <c r="A20" i="7"/>
  <c r="A18" i="7"/>
  <c r="A17" i="7"/>
  <c r="A16" i="7"/>
  <c r="A15" i="7"/>
  <c r="A14" i="7"/>
  <c r="A12" i="7"/>
  <c r="A11" i="7"/>
  <c r="A10" i="7"/>
  <c r="A9" i="7"/>
  <c r="A8" i="7"/>
  <c r="A4" i="7"/>
  <c r="A3" i="7"/>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20" i="10"/>
  <c r="L19" i="10"/>
  <c r="L18" i="10"/>
  <c r="L17" i="10"/>
  <c r="L16" i="10"/>
  <c r="L15" i="10"/>
  <c r="L14" i="10"/>
  <c r="L13" i="10"/>
  <c r="L12" i="10"/>
  <c r="L11" i="10"/>
  <c r="L10" i="10"/>
  <c r="L9" i="10"/>
  <c r="L8" i="10"/>
  <c r="L7" i="10"/>
  <c r="L6" i="10"/>
  <c r="L5" i="10"/>
  <c r="L4" i="10"/>
  <c r="L3" i="10"/>
  <c r="F11" i="8"/>
  <c r="F10" i="8"/>
  <c r="F9" i="8"/>
  <c r="F8" i="8"/>
  <c r="F7" i="8"/>
  <c r="F5" i="8"/>
  <c r="F4" i="8"/>
  <c r="F3" i="8"/>
  <c r="F2" i="8"/>
</calcChain>
</file>

<file path=xl/sharedStrings.xml><?xml version="1.0" encoding="utf-8"?>
<sst xmlns="http://schemas.openxmlformats.org/spreadsheetml/2006/main" count="1184" uniqueCount="320">
  <si>
    <t>Submetidos a aprovação</t>
  </si>
  <si>
    <t>Confirmação / Amendment</t>
  </si>
  <si>
    <t>ON HOLD - sem TP</t>
  </si>
  <si>
    <t>Sem EDI para EM e Porto. Conseguimos enviar Booking Confirmation.</t>
  </si>
  <si>
    <t>CONFIRMED</t>
  </si>
  <si>
    <t>Conseguimos enviar Booking Confirmation (completo)</t>
  </si>
  <si>
    <t>Submeter a aprovação ao PM</t>
  </si>
  <si>
    <t>APPROVED - sem Liberação de Vazio</t>
  </si>
  <si>
    <t>WAITLISTED - sem Liberação do Vazio</t>
  </si>
  <si>
    <t>Conseguimos enviar BRA</t>
  </si>
  <si>
    <t xml:space="preserve">Sem EDI para EM e Porto. Conseguimos enviar Booking Confirmation.
</t>
  </si>
  <si>
    <t>Marcar o checkbox "Empty release not required" em Equipment tab. Verificar aprovação do consignee na planilha de restrições de PM.</t>
  </si>
  <si>
    <t>Qual a restrição?</t>
  </si>
  <si>
    <t>Status do booking no Globe</t>
  </si>
  <si>
    <t>O que fazer no sistema</t>
  </si>
  <si>
    <t>Comunicação com cliente</t>
  </si>
  <si>
    <t>Ação do Booking Expert</t>
  </si>
  <si>
    <t>REJECTED</t>
  </si>
  <si>
    <t>Informação apenas via Inttra (sem envio de email)</t>
  </si>
  <si>
    <t>Notificação</t>
  </si>
  <si>
    <t>CANCELLED</t>
  </si>
  <si>
    <t>Globe</t>
  </si>
  <si>
    <t>Confirmed</t>
  </si>
  <si>
    <t>Draft</t>
  </si>
  <si>
    <t>Booking Expert incluirá valor na aba VAS</t>
  </si>
  <si>
    <t>Amendment</t>
  </si>
  <si>
    <t>Booking Expert processará alteração em sistema, buscando novo TP e agreement e/ou produto.</t>
  </si>
  <si>
    <t>Enfatizar ao cliente a necessidade de detalhar a alteração no campo Customer Comments do Inttra.</t>
  </si>
  <si>
    <t>Etapa</t>
  </si>
  <si>
    <t>Categoria</t>
  </si>
  <si>
    <t>1) SPL Over</t>
  </si>
  <si>
    <t>1) Substituição de Booking solicitada sob analise do PM - entre SC's</t>
  </si>
  <si>
    <r>
      <t>1) Alteração de POD</t>
    </r>
    <r>
      <rPr>
        <b/>
        <sz val="10"/>
        <rFont val="Calibri"/>
        <family val="2"/>
        <scheme val="minor"/>
      </rPr>
      <t xml:space="preserve"> (NYC)</t>
    </r>
  </si>
  <si>
    <t>1) SPL Ajuste de quantidade por falta de aprovação Over</t>
  </si>
  <si>
    <t xml:space="preserve">1) Substituição de Booking solicitada Não aprovado pelo PM </t>
  </si>
  <si>
    <t>1) Sem negociação e sem espaço para as proximas 6 (BCO) ou 2 (NVO) semanas</t>
  </si>
  <si>
    <t>2) Alteração de POD</t>
  </si>
  <si>
    <t>2) Amendmente recebido sem informação detalhada no campo Customer Comments (Inttra)</t>
  </si>
  <si>
    <t>2) Cancelamento Inttra</t>
  </si>
  <si>
    <t>3) Luanda</t>
  </si>
  <si>
    <t>4) Foodgrade</t>
  </si>
  <si>
    <t>5) Sem negociação válida</t>
  </si>
  <si>
    <t>5) Negociação utilizada diferente da informada em sistema</t>
  </si>
  <si>
    <t>6) Carvão</t>
  </si>
  <si>
    <t>6) Flexitank</t>
  </si>
  <si>
    <t>6) Embarque com excesso - OOG</t>
  </si>
  <si>
    <t>6) Underdeck/special stowage.</t>
  </si>
  <si>
    <t>6) Overweight</t>
  </si>
  <si>
    <t>1) Alocação</t>
  </si>
  <si>
    <t>2) Booking</t>
  </si>
  <si>
    <t>3) Destino</t>
  </si>
  <si>
    <t>4) Logistica</t>
  </si>
  <si>
    <t>5) Negociação</t>
  </si>
  <si>
    <t>6) Operacional</t>
  </si>
  <si>
    <t>Seu pedido de reserva fora recebido, porem cancelado pois sistema esta apto a confirmar reservas com ate 8 semanas de antecedencia, a contar da semana da solicitacao.</t>
  </si>
  <si>
    <t>Seu pedido de reserva fora recebido, porém cancelado pois sistema está apto a confirmar reservas com até 8 semanas de antecedência, a contar da semana da solicitação.</t>
  </si>
  <si>
    <t>1) Pedido acima de 8 semanas</t>
  </si>
  <si>
    <t>Situação</t>
  </si>
  <si>
    <t>STATUS</t>
  </si>
  <si>
    <t>Sistema</t>
  </si>
  <si>
    <t>Numero de caracteres</t>
  </si>
  <si>
    <t>Reason</t>
  </si>
  <si>
    <t>Remarks Interno</t>
  </si>
  <si>
    <t>Adicionar no Corpo do E-mail (PDF)</t>
  </si>
  <si>
    <t>Vessel Expert</t>
  </si>
  <si>
    <t>Transferência de reserva por falta de depósito do cheio ou liberação junto RFB</t>
  </si>
  <si>
    <t>Ação será de Vessel Export através do Full Vessel Renomination</t>
  </si>
  <si>
    <t>Cargo Cut-Off Missed</t>
  </si>
  <si>
    <t>Cargo transferred due lack of gate / clearance on cargo cut-off</t>
  </si>
  <si>
    <t>Unidades não foram armazenadas / liberadas até o deadline de carga, sendo assim, reserva transferida para próximo navio com espaço disponível. OBS: Por favor providenciar ajuste de quadra junto ao terminal portuário para unidades já depositadas</t>
  </si>
  <si>
    <t>Transferência de reserva por falta de depósito do cheio - IMO</t>
  </si>
  <si>
    <t>Unidades não foram armazenadas / liberadas até o deadline de carga, sendo assim, reserva transferida para próximo navio com espaço disponível. Por favor, reenviar MDGFs e demais documentos atualizados por e-mail.</t>
  </si>
  <si>
    <t>Ajuste de quantidade de reserva, por falta de liberação</t>
  </si>
  <si>
    <t>Ação será de Vessel Export através do Partial Vessel Renomination</t>
  </si>
  <si>
    <t>Booking reduced as per gate / clearance on cargo cut-off</t>
  </si>
  <si>
    <t>Segue booking ajustado de XX para XX, por falta de liberação das unidades.
Gentileza solicitar ou informar novo booking para as unidades não liberadas, assim como instruir alteração ao terminal portuário e enviar uma nova instrução de embarque (BL Draft).</t>
  </si>
  <si>
    <t>Cut &amp; Run</t>
  </si>
  <si>
    <t>Ação será de Vessel Export através do Full / Partial Vessel Renomination</t>
  </si>
  <si>
    <t>Transference due Cut &amp; Run</t>
  </si>
  <si>
    <t>Devido a restrições operacionais o navio deixou o terminal antes do término da operação. Por consequência, sua reserva não embarcou e foi transferida para o próximo navio. Não há necessidade de enviar uma nova instrução de embarque (BL Draft).
Draft e VGM enviados anteriormente serão reconsiderados.
Custos de rolagem/armazenagem serão absorvidos pelo armador.</t>
  </si>
  <si>
    <t>Cut &amp; Run (Com quebra de lote)</t>
  </si>
  <si>
    <r>
      <t xml:space="preserve">Devido a restrições operacionais o navio deixou o terminal antes do término da operação. Por consequência, sua reserva não embarcou em sua totalidade. Reserva xxxxxxxxxx foi alterada e a(s) unidade(s) não liberada(s) foi/foram vinculada(s) a nova reserva xxxxxxxxxx, criada no próximo navio disponível, enviada em paralelo. Gentileza submeter uma nova Instrução de embarque (BL Draft) e garantir a liberação do novo booking no novo navio.
</t>
    </r>
    <r>
      <rPr>
        <sz val="10"/>
        <color theme="1" tint="4.9989318521683403E-2"/>
        <rFont val="Verdana"/>
        <family val="2"/>
      </rPr>
      <t xml:space="preserve">Custos de rolagem/armazenagem serão absorvidos pelo armador.
</t>
    </r>
  </si>
  <si>
    <t>Omissão de escala</t>
  </si>
  <si>
    <t>Port Omission</t>
  </si>
  <si>
    <t>Transference due vessel omission</t>
  </si>
  <si>
    <r>
      <rPr>
        <sz val="10"/>
        <rFont val="Verdana"/>
        <family val="2"/>
      </rPr>
      <t>Devido à omissão desta escala, informamos que a reserva foi transferida para o navio &lt;inserir navio&gt;.
Gentileza garantir a liberação no navio XXXXXX cujo deadline de carga vence em &lt;Inserir deadline&gt;.
Draft e VGM enviados anteriormente serão reconsiderados.
Custos de transferência de quadra serão assumidos pelo armador. Custos de armazenagem serão de responsabilidade do exportador.
Anexo comunicado. Booking atualizado será enviado em mensagem paralela.</t>
    </r>
    <r>
      <rPr>
        <b/>
        <sz val="10"/>
        <rFont val="Verdana"/>
        <family val="2"/>
      </rPr>
      <t xml:space="preserve">
</t>
    </r>
  </si>
  <si>
    <t>Corte de carga</t>
  </si>
  <si>
    <t>Overbooking / Allocation</t>
  </si>
  <si>
    <t>Transference due operational restrictions under our account</t>
  </si>
  <si>
    <r>
      <rPr>
        <i/>
        <sz val="10"/>
        <rFont val="Verdana"/>
        <family val="2"/>
      </rPr>
      <t xml:space="preserve">Devido a restrições operacionais no navio XXXXXX sua reserva foi transferida para o navio XXXXX.
Gentileza garantir a liberação no novo navio, cujo deadline de carga vence em &lt;inserir deadline&gt;.
Draft e VGM enviados anteriormente serão reconsiderados.
Custos de rolagem/armazenagem serão absorvidos pelo armador.
Anexo comunicado. Booking atualizado será enviado em mensagem paralela.                 </t>
    </r>
    <r>
      <rPr>
        <sz val="10"/>
        <rFont val="Verdana"/>
        <family val="2"/>
      </rPr>
      <t>IMPORTANTE: 
♦ CARGAS IMO:
          •Enviar por e-mail com a atualização do navio  MDGF e Anexo VII;</t>
    </r>
    <r>
      <rPr>
        <i/>
        <sz val="10"/>
        <color rgb="FFFF0000"/>
        <rFont val="Verdana"/>
        <family val="2"/>
      </rPr>
      <t xml:space="preserve">
</t>
    </r>
  </si>
  <si>
    <t>Amends</t>
  </si>
  <si>
    <t>Cancelamento por transferência</t>
  </si>
  <si>
    <t>Cancelamento feito pelo Vessel Expert</t>
  </si>
  <si>
    <t>Booking feedback - General Feedback</t>
  </si>
  <si>
    <t>EX-VVD – Due Lack of BL Draft.</t>
  </si>
  <si>
    <t>Esta é a terceira transferência sem retirada de equipamento, por este motivo, a reserva foi cancelada. 
Favor solicitar nova reserva quando carga pronta.</t>
  </si>
  <si>
    <t>Ajuste por pendência do cliente</t>
  </si>
  <si>
    <t>Transferência de reserva por falta de envio de draft</t>
  </si>
  <si>
    <t>Transferência de booking, feita pelo Vessel Expert</t>
  </si>
  <si>
    <t>Devido não termos acusado o recebimento do BL draft dentro do deadline estipulado, informamos que a reserva foi transferida para o primeiro navio com espaço disponível.</t>
  </si>
  <si>
    <t>Cancelamento de reserva por falta de liberação de vazio e envio de draft</t>
  </si>
  <si>
    <t>Não conseguimos enviar PDF</t>
  </si>
  <si>
    <t>Reserva cancelada por falta envio de BL draft e retirada de equipamento vazio. Caso exista intenção de embarque, por favor, efetuar nova solicitação via Inttra.</t>
  </si>
  <si>
    <t>Ajuste de quantidade de reserva, de acordo com draft de BL</t>
  </si>
  <si>
    <t>Ajuste de booking, feito pelo Vessel Expert</t>
  </si>
  <si>
    <t>FROM X TO Y as per BL Draft.</t>
  </si>
  <si>
    <t>Reserva ajustada DE: X PARA: Y, conforme draft de BL.</t>
  </si>
  <si>
    <t>Ajuste prontidão de carga antecipada</t>
  </si>
  <si>
    <t>Cancelamento por Prontidão de Carga Antecipada</t>
  </si>
  <si>
    <r>
      <t xml:space="preserve">EX-VVD - </t>
    </r>
    <r>
      <rPr>
        <b/>
        <sz val="10"/>
        <color rgb="FFFF0000"/>
        <rFont val="Verdana"/>
        <family val="2"/>
      </rPr>
      <t>Early</t>
    </r>
    <r>
      <rPr>
        <sz val="10"/>
        <rFont val="Verdana"/>
        <family val="2"/>
      </rPr>
      <t xml:space="preserve"> cargo readiness </t>
    </r>
    <r>
      <rPr>
        <b/>
        <sz val="10"/>
        <color rgb="FFFF0000"/>
        <rFont val="Verdana"/>
        <family val="2"/>
      </rPr>
      <t>&lt;contato por telefônico ou email nome da pessoa de contato&gt;</t>
    </r>
  </si>
  <si>
    <t>Reserva cancelada conforme solicitado por email / telefone na prontidão de carga antecipada</t>
  </si>
  <si>
    <t>Transferência de reserva por Prontidão de Carga Antecipada</t>
  </si>
  <si>
    <r>
      <t xml:space="preserve">EX-VVD - Due </t>
    </r>
    <r>
      <rPr>
        <b/>
        <sz val="10"/>
        <color rgb="FFFF0000"/>
        <rFont val="Verdana"/>
        <family val="2"/>
      </rPr>
      <t>early</t>
    </r>
    <r>
      <rPr>
        <sz val="10"/>
        <rFont val="Verdana"/>
        <family val="2"/>
      </rPr>
      <t xml:space="preserve"> cargo readiness &lt;inserir phone ou email e pessoa de contato&gt;</t>
    </r>
  </si>
  <si>
    <t>Reserva transferida de navio conforme solicitado por email / telefone na prontidão de carga antecipada</t>
  </si>
  <si>
    <t>Ajuste de quantidade de contêineres na reserva, de acordo Prontidão de Carga Antecipada.</t>
  </si>
  <si>
    <r>
      <t xml:space="preserve">FROM X TO Y as per </t>
    </r>
    <r>
      <rPr>
        <b/>
        <sz val="10"/>
        <color rgb="FFFF0000"/>
        <rFont val="Verdana"/>
        <family val="2"/>
      </rPr>
      <t>early</t>
    </r>
    <r>
      <rPr>
        <sz val="10"/>
        <rFont val="Verdana"/>
        <family val="2"/>
      </rPr>
      <t xml:space="preserve"> cargo readiness </t>
    </r>
    <r>
      <rPr>
        <b/>
        <sz val="10"/>
        <color rgb="FFFF0000"/>
        <rFont val="Verdana"/>
        <family val="2"/>
      </rPr>
      <t>&lt;contato por telefônico ou email nome da pessoa de contato&gt;</t>
    </r>
  </si>
  <si>
    <t>Reserva ajustada DE: X PARA: Y, de acordo com solicitação por telefone / email na prontidão de carga antecipada.</t>
  </si>
  <si>
    <t>Prontidão de carga Anecipada</t>
  </si>
  <si>
    <t>1º Confirmação de Intenção de Embarque - &lt;BOOKINGNO&gt; (&lt;POL&gt;) &lt;VVD&gt;</t>
  </si>
  <si>
    <t>Prezado cliente,</t>
  </si>
  <si>
    <t>Pedimos gentilmente que nos confirme se a quantidade de contêineres relacionada nesta mensagem será de fato embarcada.</t>
  </si>
  <si>
    <t>A brevidade da sua confirmação nos auxiliará a otimizar nossos navios, possibilitando assim um melhor atendimento de suas demandas.</t>
  </si>
  <si>
    <t>Aguardamos seu retorno positivo ou nos informando os ajustes necessários.</t>
  </si>
  <si>
    <t>Pedimos que acompanhe os deadlines de draft e carga em nosso daily position: https://www.alianca.com.br/alianca/en/alianca/company_information/brazil_alianca/dailypositions_brazil_bra/dailypositions_cutoffs.html</t>
  </si>
  <si>
    <t>2º Confirmação de Intenção de Embarque - &lt;BOOKINGNO&gt; (&lt;POL&gt;) &lt;VVD&gt;</t>
  </si>
  <si>
    <t>Sua confirmação com relação a quantidade de contêineres a serem embarcados é de extrema importância para nós.</t>
  </si>
  <si>
    <t>Pedimos gentilmente que nos informe se a relação abaixo de fato será embarcada.</t>
  </si>
  <si>
    <t>Para extensão de deadline de carga (Late Arrival) precisamos receber a solicitação via e-mail com no mínimo 03 horas de antecedência do vencimento do deadline.</t>
  </si>
  <si>
    <t>Embarque IMO aprovado POL: SANTOS</t>
  </si>
  <si>
    <t>ATENÇÃO: NOVO PROCEDIMENTO PARA ENVIO DOS MDGFs e Anexo VII</t>
  </si>
  <si>
    <r>
      <t>ü</t>
    </r>
    <r>
      <rPr>
        <sz val="7"/>
        <color rgb="FF000000"/>
        <rFont val="Times New Roman"/>
        <family val="1"/>
      </rPr>
      <t xml:space="preserve">  </t>
    </r>
    <r>
      <rPr>
        <sz val="11"/>
        <color rgb="FF000000"/>
        <rFont val="Tahoma"/>
        <family val="2"/>
      </rPr>
      <t xml:space="preserve">Documentos devem ser digitalizados (Formato do arquivo PDF) e enviado para o e-mail  </t>
    </r>
    <r>
      <rPr>
        <sz val="11"/>
        <color theme="3" tint="0.39997558519241921"/>
        <rFont val="Tahoma"/>
        <family val="2"/>
      </rPr>
      <t>SSZ-CSIMOCARGO-EXP@alianca.com.br</t>
    </r>
  </si>
  <si>
    <r>
      <t>o</t>
    </r>
    <r>
      <rPr>
        <sz val="7"/>
        <color rgb="FF000000"/>
        <rFont val="Times New Roman"/>
        <family val="1"/>
      </rPr>
      <t xml:space="preserve">   </t>
    </r>
    <r>
      <rPr>
        <sz val="11"/>
        <color rgb="FF000000"/>
        <rFont val="Tahoma"/>
        <family val="2"/>
      </rPr>
      <t>MDGF: Renomear o arquivo para MDGF e inserir a numeração da reservas;</t>
    </r>
  </si>
  <si>
    <r>
      <t>o</t>
    </r>
    <r>
      <rPr>
        <sz val="7"/>
        <color rgb="FF000000"/>
        <rFont val="Times New Roman"/>
        <family val="1"/>
      </rPr>
      <t xml:space="preserve">   </t>
    </r>
    <r>
      <rPr>
        <sz val="11"/>
        <color rgb="FF000000"/>
        <rFont val="Tahoma"/>
        <family val="2"/>
      </rPr>
      <t>Declaração de carga perigosa (anexo VII)</t>
    </r>
  </si>
  <si>
    <r>
      <t>§</t>
    </r>
    <r>
      <rPr>
        <sz val="7"/>
        <color rgb="FF000000"/>
        <rFont val="Times New Roman"/>
        <family val="1"/>
      </rPr>
      <t xml:space="preserve">  </t>
    </r>
    <r>
      <rPr>
        <sz val="11"/>
        <color rgb="FF000000"/>
        <rFont val="Tahoma"/>
        <family val="2"/>
      </rPr>
      <t>Com a numeração do contêiner e assinada;</t>
    </r>
  </si>
  <si>
    <r>
      <t>§</t>
    </r>
    <r>
      <rPr>
        <sz val="7"/>
        <color rgb="FF000000"/>
        <rFont val="Times New Roman"/>
        <family val="1"/>
      </rPr>
      <t xml:space="preserve">  </t>
    </r>
    <r>
      <rPr>
        <sz val="11"/>
        <color rgb="FF000000"/>
        <rFont val="Tahoma"/>
        <family val="2"/>
      </rPr>
      <t xml:space="preserve">Nomear o arquivo com a numeração da reserva + DCP; Exemplo 5SSZIA1234 DCP O arquivo ANEXO VII, </t>
    </r>
  </si>
  <si>
    <r>
      <t>ü</t>
    </r>
    <r>
      <rPr>
        <sz val="7"/>
        <color rgb="FF000000"/>
        <rFont val="Times New Roman"/>
        <family val="1"/>
      </rPr>
      <t xml:space="preserve">  </t>
    </r>
    <r>
      <rPr>
        <b/>
        <sz val="11"/>
        <color rgb="FF000000"/>
        <rFont val="Tahoma"/>
        <family val="2"/>
      </rPr>
      <t xml:space="preserve">IMPORTANTE: </t>
    </r>
  </si>
  <si>
    <r>
      <t>·</t>
    </r>
    <r>
      <rPr>
        <sz val="7"/>
        <color rgb="FF000000"/>
        <rFont val="Times New Roman"/>
        <family val="1"/>
      </rPr>
      <t xml:space="preserve">        </t>
    </r>
    <r>
      <rPr>
        <sz val="11"/>
        <color rgb="FF000000"/>
        <rFont val="Tahoma"/>
        <family val="2"/>
      </rPr>
      <t xml:space="preserve">A declaração de carga perigosa e o MDGF podem ser enviados na mesma mensagem, </t>
    </r>
    <r>
      <rPr>
        <b/>
        <sz val="11"/>
        <color rgb="FF000000"/>
        <rFont val="Tahoma"/>
        <family val="2"/>
      </rPr>
      <t>mas, em arquivos separados e nomeados como indicado acima.</t>
    </r>
  </si>
  <si>
    <r>
      <t>·</t>
    </r>
    <r>
      <rPr>
        <sz val="7"/>
        <color rgb="FF000000"/>
        <rFont val="Times New Roman"/>
        <family val="1"/>
      </rPr>
      <t xml:space="preserve">        </t>
    </r>
    <r>
      <rPr>
        <b/>
        <sz val="11"/>
        <color rgb="FF000000"/>
        <rFont val="Tahoma"/>
        <family val="2"/>
      </rPr>
      <t>Documentos que não estejam em conformidade, com o nosso processo serão desconsiderados.</t>
    </r>
  </si>
  <si>
    <t xml:space="preserve">                                               </t>
  </si>
  <si>
    <r>
      <t>ü</t>
    </r>
    <r>
      <rPr>
        <sz val="7"/>
        <color rgb="FF000000"/>
        <rFont val="Times New Roman"/>
        <family val="1"/>
      </rPr>
      <t xml:space="preserve"> </t>
    </r>
    <r>
      <rPr>
        <b/>
        <sz val="20"/>
        <color rgb="FF000000"/>
        <rFont val="Tahoma"/>
        <family val="2"/>
      </rPr>
      <t xml:space="preserve">DEADLINE: MDGF / ANEXO VII: </t>
    </r>
  </si>
  <si>
    <t>ATENÇÃO: Os DRAFTs das unidades / bookings declarados com cargas IMOs, devem ser enviados nos três (3) anteriores ao deadline da carga.</t>
  </si>
  <si>
    <t>É responsabilidade do exportador ou do seu preposto preencher corretamente os documentos relevantes ao embarque de cargas classificadas como IMO, qualquer ônus gerado por erro na falta de informação ou no preenchimento incorreto destes documentos, serão direcionados para estes.</t>
  </si>
  <si>
    <r>
      <t>a)</t>
    </r>
    <r>
      <rPr>
        <b/>
        <sz val="7"/>
        <color rgb="FF000000"/>
        <rFont val="Times New Roman"/>
        <family val="1"/>
      </rPr>
      <t xml:space="preserve">   </t>
    </r>
    <r>
      <rPr>
        <b/>
        <sz val="12"/>
        <color rgb="FF000000"/>
        <rFont val="Tahoma"/>
        <family val="2"/>
      </rPr>
      <t>ROTULOS DE IDENTIFICAÇÃO DE CARGA IMO</t>
    </r>
  </si>
  <si>
    <r>
      <t>a.</t>
    </r>
    <r>
      <rPr>
        <sz val="7"/>
        <color rgb="FF000000"/>
        <rFont val="Times New Roman"/>
        <family val="1"/>
      </rPr>
      <t xml:space="preserve">    </t>
    </r>
    <r>
      <rPr>
        <sz val="12"/>
        <color rgb="FF000000"/>
        <rFont val="Tahoma"/>
        <family val="2"/>
      </rPr>
      <t xml:space="preserve">Os adesivos (rótulos) de identificação das cargas IMOs, devem estar de acordo com as instruções do IMDG CODE, (embarque Maritimo), portanto, garanta que os estes estejam de acordo com a legislação, antes da entrega do contêiner no terminal. Caso seja identificado erro nas etiquetas de carga </t>
    </r>
    <r>
      <rPr>
        <sz val="12"/>
        <color rgb="FF808080"/>
        <rFont val="Times New Roman"/>
        <family val="1"/>
      </rPr>
      <t>IMO fixada ao contêiner, esta deverá ser regularizada antes do fechamento</t>
    </r>
    <r>
      <rPr>
        <sz val="12"/>
        <color rgb="FF000000"/>
        <rFont val="Tahoma"/>
        <family val="2"/>
      </rPr>
      <t xml:space="preserve"> do “deadline” do navio, cabendo ao exportado ou seu preposto arcar com os ônus e sanções decorridos desta situação. Não há garantia de embarque para estas situações.</t>
    </r>
  </si>
  <si>
    <t>Embarque IMO aprovado OUTROS PORTOS</t>
  </si>
  <si>
    <t>Por gentileza, leia esta mensagem na sua totalidade.</t>
  </si>
  <si>
    <t>Embarque aprovado</t>
  </si>
  <si>
    <t>É responsabilidade do exportador ou do seu preposto preencher corretamente o MDGF, qualquer ônus gerado por erro na falta de informação ou no preenchimento incorreto destes documentos, serão direcionados para estes.</t>
  </si>
  <si>
    <t>a) Ao recebermos os MDGFS faremos a conferência de alguns itens que são relevantes ao armador:</t>
  </si>
  <si>
    <t>a. Navio e viagem;</t>
  </si>
  <si>
    <t>b. Numeração da “UN”;</t>
  </si>
  <si>
    <t>c. Numeração do contêiner;</t>
  </si>
  <si>
    <t xml:space="preserve">d. Peso do Produto. </t>
  </si>
  <si>
    <t>b) ROTULOS DE IDENTIFICAÇÃO DE CARGA IMO</t>
  </si>
  <si>
    <t>a. Os adesivos (rótulos) de identificação das cargas IMOs, devem estar de acordo com as instruções do IMDG CODE, (embarque Maritimo), portanto, garanta que estes estejam de acordo com a legislação, antes da entrega do contêiner no terminal. Caso seja identificado erro na adesivagem esta deverá ser regularizada antes do fechamento do “deadline” do navio, cabendo ao exportado ou seu preposto arcar com as responsabilidades e qualquer ônus ou sanções decorridos desta situação. Não há garantia de embarque para estas situações.</t>
  </si>
  <si>
    <t>ATENÇÃO PARA OS DEADLINES E FORMA DE ENVIO.</t>
  </si>
  <si>
    <t>Para que possamos atender os prazos, determinados pela NR29, junto as autoridades portuárias e o navio, se os documentos não forem enviados no prazo e no formato solicitado, seremos obrigados a cancelar o embarque.</t>
  </si>
  <si>
    <t>MDGF+ANEXO VII+FICHAS DE EMERGÊNCIA+FISPQ(PORTUGUÊS): ATÉ O DEAD LINE DE DRAFT</t>
  </si>
  <si>
    <t>MDGF+DRAFT DO NAVIO</t>
  </si>
  <si>
    <r>
      <t xml:space="preserve">Enviar  MDGF + FICHA DE EMERGÊNCIA + DECLARAÇÃO DE CARGA PERIGOSA(constando os dados do(s) cntr(s)) + FISQP (PORTUGUÊS) para </t>
    </r>
    <r>
      <rPr>
        <sz val="12"/>
        <color theme="3" tint="0.39997558519241921"/>
        <rFont val="Arial"/>
        <family val="2"/>
      </rPr>
      <t>SSZ-CSIMOCARGO-EXP@alianca.com.br</t>
    </r>
    <r>
      <rPr>
        <sz val="12"/>
        <color theme="1"/>
        <rFont val="Arial"/>
        <family val="2"/>
      </rPr>
      <t xml:space="preserve">
</t>
    </r>
  </si>
  <si>
    <t>Remarks Globe (Revisão Gerência)</t>
  </si>
  <si>
    <t>Remarks Email (Revisão Gerência)</t>
  </si>
  <si>
    <t>Seq.</t>
  </si>
  <si>
    <t>Cont.</t>
  </si>
  <si>
    <t>Seu pedido de amendment foi recebido, mas em virtude do porto de descarga ser Nova Iorque precisa de aprovacao. Retornaremos via Inttra, assim que possivel.</t>
  </si>
  <si>
    <t>Seu pedido de amendment foi recebido, mas em virtude do porto de descarga ser Nova Iorque precisa de aprovação. Retornaremos via Inttra, assim que possível.</t>
  </si>
  <si>
    <t>Seu pedido de reserva precisa de aprovacao devido a restricao de espaco no  navio de conexao. Retornaremos via Inttra, assim que possivel.</t>
  </si>
  <si>
    <t>Sua reserva precisa de aprovação devido a restrição de espaço no  navio de conexão. Retornaremos via Inttra, assim que possível.</t>
  </si>
  <si>
    <t>Seu pedido de reserva nao pode ser aceito em virtude da restricao de espaco no navio solicitado, bem como nos navios das proximas 8 semanas.</t>
  </si>
  <si>
    <t>Seu pedido de reserva não pode ser aceito em virtude da restrição de espaço no navio solicitado, bem como nos navios das próximas 8 semanas.</t>
  </si>
  <si>
    <t>O navio XXXX nao dispoe de alocacao suficiente ou disponivel. Sua reserva foi confirmada no primeiro navio com espaco disponivel</t>
  </si>
  <si>
    <t>O navio XXXX nao dispoe de alocação suficiente ou disponivel. Sua reserva foi confirmada no primeiro navio com espaco disponivel</t>
  </si>
  <si>
    <t>Sua solicitacao de reserva foi cancelada em virtude de restricao de espaco no navio XXXX, bem como nas saidas das proximas 2 semanas.</t>
  </si>
  <si>
    <t>Sua solicitação de reserva foi cancelada em virtude de restrição de espaço no navio XXXX, bem como nas saidas das próximas 2 semanas.</t>
  </si>
  <si>
    <t>Sua solicitacao de reserva foi cancelada por restricao de espaco no navio solicitado e nos proximos.  Atencao, pois neste caso, a notificacao de cancelamento sera enviada somente via Inttra</t>
  </si>
  <si>
    <t>Sua solicitação de reserva foi cancelada por restrição de espaço no navio solicitado e nos próximos.  Atenção, pois neste caso, a notificação de cancelamento será enviada somente via Inttra</t>
  </si>
  <si>
    <t>Atendemos parcialmente a sua solicitacao de reserva. A quantidade de containers foi reduzida por restricao de espaco. Para reservar o excedente favor enviar uma nova solicitacao.</t>
  </si>
  <si>
    <t>Atendemos parcialmente a sua solicitação de reserva. A quantidade de containers foi reduzida por restrição de espaço. Para reservar o excedente favor enviar uma nova solicitação.</t>
  </si>
  <si>
    <t>Seu pedido de reserva precisa de aprovacao uma vez que seu espaco pre-definido ja foi utilizado. Retornaremos via Inttra assim que possivel</t>
  </si>
  <si>
    <t>Sua reserva precisa de aprovação uma vez que seu espaço pré-definido já foi utilizado. Retornaremos via Inttra assim que possível</t>
  </si>
  <si>
    <t>Seu pedido de reserva nao pode ser aceito no navio XXXX, pois excede o espaco pre-definido e nao ha espaco excedente disponivel. A reserva foi confirmada no primeiro navio disponivel.</t>
  </si>
  <si>
    <t>Seu pedido de reserva não pode ser aceito no navio XXXX, pois excede o espaço pré-definido e não há espaço excedente disponível. A reserva foi confirmada no primeiro navio disponível.</t>
  </si>
  <si>
    <t>Seu pedido de substituicao precisa ser aprovado, pois envolve portos de embarque distintos. Retornaremos via Inttra assim que possivel.</t>
  </si>
  <si>
    <t>Seu pedido de substituição precisa ser aprovado, pois envolve portos de embarque distintos. Retornaremos via Inttra assim que possível.</t>
  </si>
  <si>
    <t>Seu pedido de substituicao nao pode ser aceito devido a restricao de espaco no navio. A reserva permanecera inalterada.</t>
  </si>
  <si>
    <t>Seu pedido de substituição não pode ser aceito devido a restrição de espaço no navio. A reserva permanecerá inalterada.</t>
  </si>
  <si>
    <t>Gentileza informar o terminal desejado em Alexandria: El Dekheila ou Old Port. Daremos andamento a sua reserva apos seu retorno.</t>
  </si>
  <si>
    <t>Gentileza informar o terminal desejado em Alexandria: El Dekheila ou Old Port. Daremos andamento a sua reserva após seu retorno.</t>
  </si>
  <si>
    <t>Porto de descarga foi alterado conforme solicitado. Possiveis custos adicionais serao de responsabilidade do exportador. Em caso de entrega ou agendamento ja realizado, gentileza ajustar esta informacao junto ao Terminal portuario.</t>
  </si>
  <si>
    <t>Porto de descarga foi alterado conforme solicitado. Possíveis custos adicionais serão de responsabilidade do exportador. Em caso de entrega ou agendamento já realizado, gentileza ajustar esta informação junto ao Terminal portuário.</t>
  </si>
  <si>
    <t>A reserva nao pode ser alterada, pois nao foi possivel identificar as alteracoes solicitadas em seu amendment. Favor especifica-las no campo Customer Comments via sistema Inttra.</t>
  </si>
  <si>
    <t>A reserva não pode ser alterada, pois não foi possível identificar as alterações solicitadas em seu amendment. Favor especificá-las no campo Customer Comments via sistema Inttra.</t>
  </si>
  <si>
    <t>Confirmed / Amendment</t>
  </si>
  <si>
    <t>O navio XXXX nao contempla a rota desejada. A reserva foi confirmada no primeiro navio correto disponivel.</t>
  </si>
  <si>
    <t>O navio XXXX não contempla a rota desejada. A reserva foi confirmada no primeiro navio correto disponível.</t>
  </si>
  <si>
    <t>Esta e a segunda transferencia sem retirada de equipamento, por este motivo a reserva foi cancelada. Favor solicitar nova reserva quando a carga estiver pronta.</t>
  </si>
  <si>
    <t>Reserva cancelada conforme solicitacao recebida via Inttra.</t>
  </si>
  <si>
    <t>Reserva cancelada conforme solicitação recebida via Inttra</t>
  </si>
  <si>
    <t>Com base no nosso guia interno reefer o limao deve ser transportado com desumidificacao desligada (OFF). Sua reserva foi confirmada dessa forma. Se por algum motivo particular a desumidificacao deva estar ligada (ON), favor reverter com o percentual/cbm.</t>
  </si>
  <si>
    <t>Com base no nosso guia interno reefer o limão deve ser transportado com desumidificação desligada (OFF). Sua reserva foi confirmada dessa forma. Se por algum motivo particular a desumidificação deva estar ligada (ON), favor reverter com o percentual/cbm.</t>
  </si>
  <si>
    <t>Em sua negociacao temos duas modalidades de transporte disponiveis: truck e rail. Sua solicitacao de reserva menciona TRUCK. Caso a modalidade esteja incorreta, gentileza informar com urgencia.</t>
  </si>
  <si>
    <t>Em sua negociação temos duas modalidades de transporte disponíveis: truck e rail. Sua solicitaçãoo de reserva menciona TRUCK. Caso a modalidade esteja incorreta, gentileza informar com urgência.</t>
  </si>
  <si>
    <t>Sua solicitacao de reserva foi processada com a modalidade de transporte RAIL. Caso a modalidade esteja incorreta, gentileza informar com urgencia.</t>
  </si>
  <si>
    <t>Sua solicitação de reserva foi processada com a modalidade de transporte RAIL. Caso a modalidade esteja incorreta, gentileza informar com urgência.</t>
  </si>
  <si>
    <t>Recebemos sua solicitacao para modalidade de pagamento Elsewhere. Contudo, nao identificamos autorizacao previa para este tipo de pagamento. Gentileza entrar em contato com nossa equipe de vendas.</t>
  </si>
  <si>
    <t>Recebemos sua solicitação para modalidade de pagamento Elsewhere. Contudo, não identificamos autorização prévia para este tipo de pagamento. Gentileza entrar em contato com nossa equipe de vendas.</t>
  </si>
  <si>
    <t>Gentileza desconsiderar a modalidade de pagamento informada nesta reserva. Esta informacao e definida somente no momento da emissao do Bill of Lading (Draft / SI)</t>
  </si>
  <si>
    <t>Gentileza desconsiderar a modalidade de pagamento informada nesta reserva. Esta informação é definida somente no momento da emissão do Bill of Lading (Draft / SI)</t>
  </si>
  <si>
    <t>Gentileza enviar via Inttra os dados do consignatario em Luanda para aprovacao do embarque e posterior liberacao de vazios. Alem disso, e obrigatorio o envio de CNCA para o email CUSTOMERCARE-BR@alianca.com.br em ate cinco dias apos o embarque.</t>
  </si>
  <si>
    <t>Gentileza enviar via Inttra os dados do consignatário em Luanda para aprovação do embarque e posterior liberação de vazios. Além disso, é obrigatório o envio de CNCA para o email CUSTOMERCARE-BR@alianca.com.br em ate cinco dias após o embarque.</t>
  </si>
  <si>
    <t>Por tratar-se de equipamento proprio (SOC) e necessario o envio de uma carta garantia (LOI) assinada, com o numero do container, para o email CUSTOMERCARE-BR@alianca.com.br em ate tres dias uteis antes do deadline de draft</t>
  </si>
  <si>
    <t>Por tratar-se de equipamento próprio (SOC) e necessário o envio de uma carta garantia (LOI) assinada, com o número do container, para o email CUSTOMERCARE-BR@alianca.com.br em até três dias úteis antes do deadline de draft.</t>
  </si>
  <si>
    <t>Por tratar-se de equipamento proprio (SOC) e necessario o envio do numero do container, para o email CUSTOMERCARE-BR@alianca.com.br em ate tres dias uteis antes do deadline de draft</t>
  </si>
  <si>
    <t>Por tratar-se de equipamento próprio (SOC) e necessário o envio do número do container, para o e-mail CUSTOMERCARE-BR@alianca.com.br em até três dias úteis antes do deadline de draft</t>
  </si>
  <si>
    <t>Seu pedido de container padrao alimento foi inserido na reserva. O valor de USD60 por container sera manifestado no Bill of Lading na modalidade Prepaid.</t>
  </si>
  <si>
    <t>Seu pedido de container padrão alimento foi inserido na reserva. O valor de USD60 por container será manifestado no Bill of Lading na modalidade Prepaid.</t>
  </si>
  <si>
    <t>Por tratar-se de equipamento proprio (SOC) e necessario o envio do certificado do Tank, com o numero da unidade, para o email CUSTOMERCARE-BR@alianca.com.br em ate tres dias uteis antes do deadline de draft</t>
  </si>
  <si>
    <t>Por tratar-se de equipamento próprio (SOC) e necessário o envio do certificado do Tank, com o número da unidade, para o email CUSTOMERCARE-BR@alianca.com.br em até três dias úteis antes do deadline de draft.</t>
  </si>
  <si>
    <t>Por tratar-se de equipamento proprio (SOC) e necessario o envio do certificado do Tank e carta garantia (LOI) assinada, com o numero da unidade, para o email CUSTOMERCARE-BR@alianca.com.br em ate tres dias uteis antes do deadline de draft</t>
  </si>
  <si>
    <t>Por tratar-se de equipamento próprio (SOC) e necessário o envio do certificado do Tank e carta garantia (LOI) assinada, com o número da unidade, para o email CUSTOMERCARE-BR@alianca.com.br em até três dias úteis antes do deadline de draft</t>
  </si>
  <si>
    <t>Nao foi possivel processar sua solicitacao pois nao existe negociacao valida para esta rota, data de embarque e/ou equipamento. Gentileza revisar o numero da negociacao e/ou entrar em contato com nossa equipe de vendas.</t>
  </si>
  <si>
    <t>Não foi possível processar sua solicitação pois não existe negociação válida para esta rota, data de embarque e/ou equipamento. Gentileza revisar o número da negociação e/ou entrar em contato com nossa equipe de vendas.</t>
  </si>
  <si>
    <t>A negociacao XXXX informada em sua solicitacao de reserva nao e valida para esta rota, data de embarque e/ou equipamento. Por este motivo utilizamos a negociacao YYYY.</t>
  </si>
  <si>
    <t>A negociação XXXX informada em sua solicitacao de reserva não é válida para esta rota, data de embarque e/ou equipamento. Por este motivo utilizamos a negociação YYYY.</t>
  </si>
  <si>
    <t xml:space="preserve">WAITLISTED - sem Liberação do Vazio
</t>
  </si>
  <si>
    <t>Para garantia da não liberação, setar booking como 'empty release not required'
Conseguimos enviar BRA</t>
  </si>
  <si>
    <t>Para prosseguirmos com a aprovacao de sua reserva gentileza nos enviar DCA, Certificado de homologacao e ficha de emergencia (se ISOTANK enviar tank test certificate) ate tres dias uteis antes do deadline de draft para ITJ-CSIMOCARGO-EXP@alianca.com.br.</t>
  </si>
  <si>
    <t>Para prosseguirmos com a aprovação de sua reserva gentileza nos enviar DCA, Certificado de homologação e ficha de emergência (se ISOTANK enviar tank test certificate) até três dias úteis antes do deadline de draft para ITJ-CSIMOCARGO-EXP@alianca.com.br. Inserir número do booking, navio/voy e porto de embarque no assunto.</t>
  </si>
  <si>
    <t>Para prosseguirmos com a aprovacao de sua reserva gentileza nos enviar DCA, Certificado de homologacao e ficha de emergencia (se ISOTANK enviar tank test certificate) ate tres dias uteis antes do deadline de draft para SSZ-CSIMOCARGO-EXP@alianca.com.br.</t>
  </si>
  <si>
    <t>Para prosseguirmos com a aprovação de sua reserva gentileza nos enviar DCA, Certificado de homologação e ficha de emergência (se ISOTANK enviar tank test certificate) até três dias úteis antes do deadline de draft para SSZ-CSIMOCARGO-EXP@alianca.com.br. Inserir número do booking, navio/voy e porto de embarque no assunto.</t>
  </si>
  <si>
    <t xml:space="preserve">WAITLISTED
</t>
  </si>
  <si>
    <t>Selecionar Empty Pick Up release + Send Coparn Conseguimos enviar BRA</t>
  </si>
  <si>
    <t>Para prosseguirmos com a aprovacao gentileza enviar documentos listados no corpo da mensagem para ITJ-CSIMOCARGO-EXP@alianca.com.br. O vazio sera liberado, porem qualquer custo  em caso de falta de aprovacao sera de responsabilidade do exportador.</t>
  </si>
  <si>
    <t>Para prosseguirmos com a aprovação de sua reserva gentileza nos enviar DCA, Certificado de homologação e ficha de emergência (se ISOTANK enviar tank test certificate) até três dias úteis antes do deadline de draft para SSZ-CSIMOCARGO-EXP@alianca.com.br. O vazio será liberado, porém qualquer custo em caso de falta de aprovação será de responsabilidade do exportador.</t>
  </si>
  <si>
    <t>Para prosseguirmos com a aprovacao gentileza enviar documentos listados no corpo da mensagem para SSZ-CSIMOCARGO-EXP@alianca.com.br. O vazio sera liberado, porem qualquer custo  em caso de falta de aprovacao sera de responsabilidade do exportador.</t>
  </si>
  <si>
    <t>APPROVED
Para devida liberação de vazio</t>
  </si>
  <si>
    <t>Para prosseguirmos com a aprovacao favor informar: origem da carga,se mineral,demais origens,steam activated e MSDS para ITJ-CSIMOCARGO-EXP@alianca.com.br. O vazio sera liberado, porem qualquer custo devido falta de aprovacao sera por conta do exportador.</t>
  </si>
  <si>
    <t>Para prosseguirmos com a aprovação de sua reserva gentileza nos informar: origem da carga, se mineral, demais origens, steam activated e MSDS para o e-mail ITJ-CSIMOCARGO-EXP@alianca.com.br. O vazio será liberado, porém qualquer custo em caso de falta de aprovação será de responsabilidade do exportador.</t>
  </si>
  <si>
    <t>Para prosseguirmos com a aprovacao favor informar: origem da carga,se mineral,demais origens,steam activated e MSDS para SSZ-CSIMOCARGO-EXP@alianca.com.br. O vazio sera liberado, porem qualquer custo devido falta de aprovacao sera por conta do exportador.</t>
  </si>
  <si>
    <t>Para prosseguirmos com a aprovação de sua reserva gentileza nos informar: origem da carga, se mineral, demais origens, steam activated e MSDS para o e-mail SSZ-CSIMOCARGO-EXP@alianca.com.br. O vazio será liberado, porém qualquer custo em caso de falta de aprovação será de responsabilidade do exportador.</t>
  </si>
  <si>
    <t>Seu pedido de reserva precisa de aprovacao em virtude do tipo de carga (com excesso). Retornaremos via Inttra, assim que possivel.</t>
  </si>
  <si>
    <t>Seu pedido de reserva precisa de aprovação em virtude do tipo de carga (com excesso). Retornaremos via Inttra, assim que possível.</t>
  </si>
  <si>
    <t>Seu pedido de reserva foi aceito. No entanto, pedimos a gentileza de nos enviar o certificado de peacao para o e-mail CUSTOMERCARE-BR@alianca.com.br, a fim de evitar possivel recusa por eventual falta de peacao.</t>
  </si>
  <si>
    <t>Seu pedido de reserva foi aceito. No entanto, pedimos a gentileza de nos enviar o certificado de peação para o e-mail CUSTOMERCARE-BR@alianca.com.br, a fim de evitar possível recusa por eventual falta de peação.</t>
  </si>
  <si>
    <t>Seu pedido de reserva precisa de aprovacao em virtude do tipo de carga (pharma). Gentileza enviar o pharma checklist para o e-mail CUSTOMERCARE-BR@alianca.com.br. O equipamento vazio so podera ser liberado apos aprovacao.</t>
  </si>
  <si>
    <t>Seu pedido de reserva precisa de aprovação em virtude do tipo de carga (pharma). Gentileza enviar o pharma checklist para o e-mail CUSTOMERCARE-BR@alianca.com.br. O equipamento vazio só poderá ser liberado apos aprovação.</t>
  </si>
  <si>
    <t>Seu pedido de reserva precisa de aprovacao pois envolve Flexitank. Gentileza enviar o numero do CAS (MSDS) e o nome do Supplier para o e-mail CUSTOMERCARE-BR@alianca.com.br.</t>
  </si>
  <si>
    <t>Seu pedido de reserva precisa de aprovação pois envolve Flexitank. Gentileza enviar o número do CAS (MSDS) e o nome do Supplier para o e-mail CUSTOMERCARE-BR@alianca.com.br.</t>
  </si>
  <si>
    <t>Recebemos o Draft do Bill of Lading e identificamos que o peso informado esta acima do limite permitido. Sendo assim, uma taxa de overweight sera manifestada no Bill of Lading com a mesma modalidade de pagamento do frete.</t>
  </si>
  <si>
    <t>Seu pedido de reserva precisa de aprovacao em virtude do tipo de carga (Scrap). Gentileza enviar fotos do material estufado, bem como declaracao de embarque devidamente assinada para o e-mail CUSTOMERCARE-BR@alianca.com.br.</t>
  </si>
  <si>
    <t>Seu pedido de reserva precisa de aprovação em virtude do tipo de carga (Scrap). Gentileza enviar fotos do material estufado, bem como declaração de embarque devidamente assinada para o e-mail CUSTOMERCARE-BR@alianca.com.br.</t>
  </si>
  <si>
    <t>Seu pedido de reserva foi aceito. No entanto nao e possivel assegurar o embarque underdeck ou com special stowage.</t>
  </si>
  <si>
    <t>Seu pedido de reserva foi aceito. No entanto não é possível assegurar o embarque underdeck ou com special stowage.</t>
  </si>
  <si>
    <t>Sem EDI para EM e Porto. Conseguimos enviar Booking Confirmation.
Para garantia da não liberação, setar booking como 'empty release not required'
Conseguimos enviar BRA</t>
  </si>
  <si>
    <t>Seu pedido de reserva precisa de aprovacao em virtude do tipo de carga (wet blue). Retornaremos via Inttra, assim que possivel.</t>
  </si>
  <si>
    <t>Seu pedido de reserva precisa de aprovação em virtude do tipo de carga (wet blue). Retornaremos via Inttra, assim que possível.</t>
  </si>
  <si>
    <t>Gentileza enviar dados do consignatario final na Venezuela, incluindo o Tax ID e Commercial Register, para aprovacao do embarque e posterior liberacao de vazios.</t>
  </si>
  <si>
    <t>Gentileza enviar dados do consignatário final na Venezuela, incluindo o Tax ID e Commercial Register, para aprovação do embarque e posterior liberação de vazios.</t>
  </si>
  <si>
    <t>Cancelled</t>
  </si>
  <si>
    <t xml:space="preserve">Seu pedido de reserva foi recebido, porem cancelado devido a restricoes comerciais relacionadas ao consignatario da carga. </t>
  </si>
  <si>
    <t xml:space="preserve">Seu pedido de reserva foi recebido, porém cancelado devido a restrições comerciais relacionadas ao consignatário da carga. </t>
  </si>
  <si>
    <t>Devido a restricao de espaco em navio de conexao, sua reserva fora confirmada em primeiro navio disponivel.</t>
  </si>
  <si>
    <t>Devido a restrição de espaço em navio de conexão, sua reserva fora confirmada em primeiro navio disponível.</t>
  </si>
  <si>
    <t>Sua solicitacao fora processada, porem e necessario que nos confirmem as dimensoes totais da carga com excesso para que possamos submeter a reserva a aprovacao.</t>
  </si>
  <si>
    <t>Sua solicitação fora processada, porém é necessário que nos confirmem as dimensões totais da carga com excesso para que possamos submeter a reserva a aprovação.</t>
  </si>
  <si>
    <t>Sua solicitacao fora processada, porem por tratar-se de equipamento especial e necessario consulta ao estoque. Retorno sera atraves do sistema Inttra, assim que obtivermos tal confirmacao.</t>
  </si>
  <si>
    <t>Sua solicitação fora processada, porém por tratar-se de equipamento especial é necessário consulta ao estoque. Retorno será através do sistema Inttra, assim que obtivermos tal confirmação.</t>
  </si>
  <si>
    <t>Retorno após análise</t>
  </si>
  <si>
    <t>1) Análise
Transbordo</t>
  </si>
  <si>
    <t>1) BCO/COA/REEFER/NVOCC/BASE MARKET- sem espaço nas 8 semanas</t>
  </si>
  <si>
    <t>1) NVO - sem espaço nas 2 semanas após navio solicitado, considerando 8 semanas de antecedencia.</t>
  </si>
  <si>
    <t>2) Alexandria (Confirmação de terminal)</t>
  </si>
  <si>
    <t>2) Cancelamento devido a segunda transferência</t>
  </si>
  <si>
    <t>2) Limão (setagem)</t>
  </si>
  <si>
    <t>2) Modalidade de transporte no destino (Bremen)</t>
  </si>
  <si>
    <t>2) Modalidade de transporte RAIL (Ecna)</t>
  </si>
  <si>
    <t xml:space="preserve">2) Pagamento Elsewhere não acordado </t>
  </si>
  <si>
    <t>2) PDF fretado - Modalidade de Pagamento.</t>
  </si>
  <si>
    <t>3) Venezuela</t>
  </si>
  <si>
    <t>4) Embarque com equipamento especial (FR/OT)</t>
  </si>
  <si>
    <t xml:space="preserve">4) Embarque de SOC (sem ser tanque) LOI AD HOC (not approved) </t>
  </si>
  <si>
    <t xml:space="preserve">4) Embarque de SOC (sem ser tanque) Shipper Approved </t>
  </si>
  <si>
    <t>4) SOC - tank( no imo) - shipper approved</t>
  </si>
  <si>
    <t xml:space="preserve">4) SOC tank - LOI AD HOC ( no imo/not approved) </t>
  </si>
  <si>
    <r>
      <t>6) Embarque com excesso - OOG (</t>
    </r>
    <r>
      <rPr>
        <b/>
        <sz val="12"/>
        <color theme="1"/>
        <rFont val="Calibri"/>
        <family val="2"/>
        <scheme val="minor"/>
      </rPr>
      <t>aprovado</t>
    </r>
    <r>
      <rPr>
        <sz val="12"/>
        <color theme="1"/>
        <rFont val="Calibri"/>
        <family val="2"/>
        <scheme val="minor"/>
      </rPr>
      <t>)</t>
    </r>
  </si>
  <si>
    <t>6) Embarque com excesso sem informacao correta das medidas da carga - OOG</t>
  </si>
  <si>
    <t>6) Embarques Pharma</t>
  </si>
  <si>
    <t>6) Scrap (Docs para confirmação da reserva)</t>
  </si>
  <si>
    <t>6) Wet Blue (navio de parceiro)</t>
  </si>
  <si>
    <t>APPROVED - sem Liberação do Vazio</t>
  </si>
  <si>
    <t>Verificar aprovação do BP no Globe.</t>
  </si>
  <si>
    <r>
      <t xml:space="preserve">2) Booking confirmado em </t>
    </r>
    <r>
      <rPr>
        <b/>
        <sz val="12"/>
        <color theme="1" tint="4.9989318521683403E-2"/>
        <rFont val="Calibri"/>
        <family val="2"/>
        <scheme val="minor"/>
      </rPr>
      <t>NAVIO</t>
    </r>
    <r>
      <rPr>
        <sz val="12"/>
        <color theme="1" tint="4.9989318521683403E-2"/>
        <rFont val="Calibri"/>
        <family val="2"/>
        <scheme val="minor"/>
      </rPr>
      <t xml:space="preserve"> diferente do solicitado por erro no </t>
    </r>
    <r>
      <rPr>
        <b/>
        <sz val="12"/>
        <color theme="1" tint="4.9989318521683403E-2"/>
        <rFont val="Calibri"/>
        <family val="2"/>
        <scheme val="minor"/>
      </rPr>
      <t>TRADE</t>
    </r>
  </si>
  <si>
    <r>
      <t xml:space="preserve">1) Booking confirmado em </t>
    </r>
    <r>
      <rPr>
        <b/>
        <sz val="12"/>
        <color theme="1" tint="4.9989318521683403E-2"/>
        <rFont val="Calibri"/>
        <family val="2"/>
        <scheme val="minor"/>
      </rPr>
      <t>NAVIO</t>
    </r>
    <r>
      <rPr>
        <sz val="12"/>
        <color theme="1" tint="4.9989318521683403E-2"/>
        <rFont val="Calibri"/>
        <family val="2"/>
        <scheme val="minor"/>
      </rPr>
      <t xml:space="preserve"> diferente do solicitado por restriçao de </t>
    </r>
    <r>
      <rPr>
        <b/>
        <sz val="12"/>
        <color theme="1" tint="4.9989318521683403E-2"/>
        <rFont val="Calibri"/>
        <family val="2"/>
        <scheme val="minor"/>
      </rPr>
      <t>ESPAÇO no FEEDER</t>
    </r>
  </si>
  <si>
    <r>
      <t xml:space="preserve">1) Booking confirmado em </t>
    </r>
    <r>
      <rPr>
        <b/>
        <sz val="12"/>
        <color theme="1" tint="4.9989318521683403E-2"/>
        <rFont val="Calibri"/>
        <family val="2"/>
        <scheme val="minor"/>
      </rPr>
      <t>NAVIO</t>
    </r>
    <r>
      <rPr>
        <sz val="12"/>
        <color theme="1" tint="4.9989318521683403E-2"/>
        <rFont val="Calibri"/>
        <family val="2"/>
        <scheme val="minor"/>
      </rPr>
      <t xml:space="preserve"> diferente do solicitado por restriçao de </t>
    </r>
    <r>
      <rPr>
        <b/>
        <sz val="12"/>
        <color theme="1" tint="4.9989318521683403E-2"/>
        <rFont val="Calibri"/>
        <family val="2"/>
        <scheme val="minor"/>
      </rPr>
      <t>ESPAÇO</t>
    </r>
    <r>
      <rPr>
        <sz val="12"/>
        <color theme="1" tint="4.9989318521683403E-2"/>
        <rFont val="Calibri"/>
        <family val="2"/>
        <scheme val="minor"/>
      </rPr>
      <t>.</t>
    </r>
  </si>
  <si>
    <t>(vazio)</t>
  </si>
  <si>
    <t>-</t>
  </si>
  <si>
    <t>oi</t>
  </si>
  <si>
    <t xml:space="preserve">
Templates | Booking Expert
</t>
  </si>
  <si>
    <t>7) Instant Booking</t>
  </si>
  <si>
    <t>7) Instant - Cancelamento parcial</t>
  </si>
  <si>
    <t>7) Instant - No show parcial</t>
  </si>
  <si>
    <t>7) Instant - Cancelamento/ total</t>
  </si>
  <si>
    <t>7) Instant - No show total</t>
  </si>
  <si>
    <t>Ajuste de quantidade de seu Instant Booking concluido. Por tratar-se de ajuste anterior a 7 dias da atracacao, havera cobranca de XXXX/ unidade, conforme termos desta modalidade de reserva. Cobranca sera enviada por nosso setor financeiro.</t>
  </si>
  <si>
    <t>Ajuste de quantidade de seu Instant Booking concluido, conforme solicitado. Por tratar-se de ajuste a menos de 7 dias da atracação, haverá cobrança de 'no show'  XXXX/ unidade pelo, conforme termos desta modalidade de reserva. Cobrança será enviada por nosso setor financeiro.</t>
  </si>
  <si>
    <t>Booking Instant cancelado, conforme solicitado. Por tratar-se de ajuste a menos de 7 dias da atracação, haverá cobrança de 'no show'  XXXX/ unidade pelo, conforme termos desta modalidade de reserva. Cobrança será enviada por nosso setor financeiro.</t>
  </si>
  <si>
    <t>Booking Instant cancelado, conforme solicitado. Por tratar-se de ajuste a menos de 7 dias da atracacao, havera cobranca de 'no show'  XXXX/ unidade pelo, conforme termos desta modalidade de reserva. Cobranca sera enviada por nosso setor financeiro.</t>
  </si>
  <si>
    <t>Ajuste de quantidade de seu Instant Booking concluido, conforme solicitado. Por tratar-se de ajuste anterior à 7 dias da atracação, haverá cobrança de XXXX/ unidade, conforme termos desta modalidade de reserva.
Cobrança será enviada por nosso setor financeiro.</t>
  </si>
  <si>
    <t>Booking Instant cancelado, conforme solicitado. Por tratar-se de ajuste anterior à 7 dias da atracação, haverá cobrança de XXXX/ unidade, conforme termos desta modalidade de reserva. Cobrança será enviada por nosso setor financeiro.</t>
  </si>
  <si>
    <t>Ajuste de quantidade de seu Instant Booking concluido. Por tratar-se de ajuste a menos de 7 dias da atracacao, havera cobranca de 'no show'  XXXX/ unidade pelo, conforme termos desta modalidade de reserva. Cobranca sera enviada por nosso setor financeiro.</t>
  </si>
  <si>
    <t>Booking Instant cancelado, conforme solicitado. Por tratar-se de ajuste anterior a 7 dias da atracacao, havera cobranca de XXXX/ unidade, conforme termos desta modalidade de reserva. Cobranca sera enviada por nosso setor financeiro.</t>
  </si>
  <si>
    <t>Esta e a segunda transferência sem retirada de equipamento, por este motivo a reserva foi cancelada. Favor solicitar nova reserva quando a carga estiver pronta.</t>
  </si>
  <si>
    <t>6) Carga Perigosa (ITJ)</t>
  </si>
  <si>
    <t>6) Carga Perigosa (SSZ)</t>
  </si>
  <si>
    <t>6) Carga Perigosa (SSZ) / Oxiteno / Nexa / CBC  (clientes autorizados a retirar vazio e depositar cheio)</t>
  </si>
  <si>
    <t>Para prosseguirmos com a aprovação de sua reserva gentileza nos enviar DCA, Certificado de homologação e ficha de emergência (se ISOTANK enviar tank test certificate) até três dias úteis antes do deadline de draft para ITJ-CSIMOCARGO-EXP@alianca.com.br. O vazio será liberado, porém qualquer custo em caso de falta de aprovação será de responsabilidade do exportador.</t>
  </si>
  <si>
    <t>6) Carga Perigosa (ITJ) / Oxiteno (cliente autorizado a retirar vazio e depositar cheio)</t>
  </si>
  <si>
    <t>Seu pedido de reserva foi submetido para aprovacao uma vez que estamos com restricao de espaco no navio solicitado. Retornaremos via Inttra assim que possivel.</t>
  </si>
  <si>
    <t>Seu pedido de reserva foi submetido para aprovação uma vez que estamos com restrição de espaço no navio solicitado.  Retornaremos via Inttra assim que possível.</t>
  </si>
  <si>
    <t>1) OTHERS / SPOT Over</t>
  </si>
</sst>
</file>

<file path=xl/styles.xml><?xml version="1.0" encoding="utf-8"?>
<styleSheet xmlns="http://schemas.openxmlformats.org/spreadsheetml/2006/main" xmlns:mc="http://schemas.openxmlformats.org/markup-compatibility/2006" xmlns:x14ac="http://schemas.microsoft.com/office/spreadsheetml/2009/9/ac" mc:Ignorable="x14ac">
  <fonts count="54" x14ac:knownFonts="1">
    <font>
      <sz val="10"/>
      <color theme="1"/>
      <name val="Arial"/>
      <family val="2"/>
    </font>
    <font>
      <sz val="10"/>
      <color theme="1"/>
      <name val="Calibri"/>
      <family val="2"/>
      <scheme val="minor"/>
    </font>
    <font>
      <sz val="12"/>
      <color rgb="FFFF0000"/>
      <name val="Calibri"/>
      <family val="2"/>
      <scheme val="minor"/>
    </font>
    <font>
      <sz val="12"/>
      <name val="Calibri"/>
      <family val="2"/>
      <scheme val="minor"/>
    </font>
    <font>
      <b/>
      <sz val="12"/>
      <color theme="0"/>
      <name val="Calibri"/>
      <family val="2"/>
      <scheme val="minor"/>
    </font>
    <font>
      <b/>
      <sz val="10"/>
      <name val="Calibri"/>
      <family val="2"/>
      <scheme val="minor"/>
    </font>
    <font>
      <sz val="10"/>
      <color rgb="FF000000"/>
      <name val="Verdana"/>
      <family val="2"/>
    </font>
    <font>
      <b/>
      <sz val="12"/>
      <color rgb="FFFF0000"/>
      <name val="Verdana"/>
      <family val="2"/>
    </font>
    <font>
      <sz val="10"/>
      <color theme="1"/>
      <name val="Verdana"/>
      <family val="2"/>
    </font>
    <font>
      <sz val="10"/>
      <color theme="1" tint="4.9989318521683403E-2"/>
      <name val="Verdana"/>
      <family val="2"/>
    </font>
    <font>
      <sz val="10"/>
      <name val="Verdana"/>
      <family val="2"/>
    </font>
    <font>
      <b/>
      <sz val="10"/>
      <name val="Verdana"/>
      <family val="2"/>
    </font>
    <font>
      <i/>
      <sz val="10"/>
      <name val="Verdana"/>
      <family val="2"/>
    </font>
    <font>
      <i/>
      <sz val="10"/>
      <color rgb="FFFF0000"/>
      <name val="Verdana"/>
      <family val="2"/>
    </font>
    <font>
      <b/>
      <sz val="10"/>
      <color rgb="FFFF0000"/>
      <name val="Verdana"/>
      <family val="2"/>
    </font>
    <font>
      <sz val="10"/>
      <color rgb="FFFF0000"/>
      <name val="Verdana"/>
      <family val="2"/>
    </font>
    <font>
      <u/>
      <sz val="10"/>
      <color theme="10"/>
      <name val="Arial"/>
      <family val="2"/>
    </font>
    <font>
      <u/>
      <sz val="10"/>
      <color rgb="FFFF0000"/>
      <name val="Verdana"/>
      <family val="2"/>
    </font>
    <font>
      <b/>
      <sz val="10"/>
      <color rgb="FFFF0000"/>
      <name val="Arial"/>
      <family val="2"/>
    </font>
    <font>
      <sz val="12"/>
      <color theme="1"/>
      <name val="Arial"/>
      <family val="2"/>
    </font>
    <font>
      <sz val="14"/>
      <color theme="1"/>
      <name val="Arial Narrow"/>
      <family val="2"/>
    </font>
    <font>
      <b/>
      <sz val="12"/>
      <color rgb="FF000000"/>
      <name val="Tahoma"/>
      <family val="2"/>
    </font>
    <font>
      <b/>
      <sz val="11"/>
      <color rgb="FF000000"/>
      <name val="Tahoma"/>
      <family val="2"/>
    </font>
    <font>
      <b/>
      <sz val="12"/>
      <color rgb="FFFF0000"/>
      <name val="Tahoma"/>
      <family val="2"/>
    </font>
    <font>
      <sz val="11"/>
      <color rgb="FF000000"/>
      <name val="Tahoma"/>
      <family val="2"/>
    </font>
    <font>
      <sz val="11"/>
      <color rgb="FF000000"/>
      <name val="Wingdings"/>
      <charset val="2"/>
    </font>
    <font>
      <sz val="7"/>
      <color rgb="FF000000"/>
      <name val="Times New Roman"/>
      <family val="1"/>
    </font>
    <font>
      <sz val="11"/>
      <color theme="3" tint="0.39997558519241921"/>
      <name val="Tahoma"/>
      <family val="2"/>
    </font>
    <font>
      <sz val="11"/>
      <color rgb="FF000000"/>
      <name val="Courier New"/>
      <family val="3"/>
    </font>
    <font>
      <sz val="11"/>
      <color rgb="FF000000"/>
      <name val="Symbol"/>
      <family val="1"/>
      <charset val="2"/>
    </font>
    <font>
      <sz val="12"/>
      <color rgb="FF1F497D"/>
      <name val="Calibri"/>
      <family val="2"/>
    </font>
    <font>
      <sz val="20"/>
      <color rgb="FF000000"/>
      <name val="Wingdings"/>
      <charset val="2"/>
    </font>
    <font>
      <b/>
      <sz val="20"/>
      <color rgb="FF000000"/>
      <name val="Tahoma"/>
      <family val="2"/>
    </font>
    <font>
      <b/>
      <u/>
      <sz val="12"/>
      <color rgb="FF000000"/>
      <name val="Tahoma"/>
      <family val="2"/>
    </font>
    <font>
      <sz val="12"/>
      <color rgb="FF000000"/>
      <name val="Tahoma"/>
      <family val="2"/>
    </font>
    <font>
      <b/>
      <sz val="7"/>
      <color rgb="FF000000"/>
      <name val="Times New Roman"/>
      <family val="1"/>
    </font>
    <font>
      <sz val="12"/>
      <color rgb="FF808080"/>
      <name val="Times New Roman"/>
      <family val="1"/>
    </font>
    <font>
      <sz val="12"/>
      <color rgb="FF000000"/>
      <name val="Arial"/>
      <family val="2"/>
    </font>
    <font>
      <sz val="12"/>
      <color theme="3" tint="0.39997558519241921"/>
      <name val="Arial"/>
      <family val="2"/>
    </font>
    <font>
      <sz val="12"/>
      <color theme="1"/>
      <name val="Calibri"/>
      <family val="2"/>
      <scheme val="minor"/>
    </font>
    <font>
      <sz val="10"/>
      <name val="Calibri"/>
      <family val="2"/>
      <scheme val="minor"/>
    </font>
    <font>
      <b/>
      <sz val="12"/>
      <color theme="1"/>
      <name val="Calibri"/>
      <family val="2"/>
      <scheme val="minor"/>
    </font>
    <font>
      <sz val="10"/>
      <color theme="1" tint="4.9989318521683403E-2"/>
      <name val="Calibri"/>
      <family val="2"/>
      <scheme val="minor"/>
    </font>
    <font>
      <sz val="10"/>
      <color theme="1"/>
      <name val="Arial"/>
      <family val="2"/>
    </font>
    <font>
      <sz val="11"/>
      <color theme="1"/>
      <name val="Calibri"/>
      <family val="2"/>
      <scheme val="minor"/>
    </font>
    <font>
      <sz val="10"/>
      <name val="Arial"/>
      <family val="2"/>
    </font>
    <font>
      <sz val="10"/>
      <name val="Courier New"/>
      <family val="3"/>
    </font>
    <font>
      <b/>
      <sz val="10"/>
      <color theme="0"/>
      <name val="Arial"/>
      <family val="2"/>
    </font>
    <font>
      <sz val="10"/>
      <color theme="0"/>
      <name val="Arial"/>
      <family val="2"/>
    </font>
    <font>
      <sz val="12"/>
      <color theme="1" tint="4.9989318521683403E-2"/>
      <name val="Calibri"/>
      <family val="2"/>
      <scheme val="minor"/>
    </font>
    <font>
      <b/>
      <sz val="12"/>
      <color theme="1" tint="4.9989318521683403E-2"/>
      <name val="Calibri"/>
      <family val="2"/>
      <scheme val="minor"/>
    </font>
    <font>
      <b/>
      <sz val="12"/>
      <color theme="1"/>
      <name val="Arial"/>
      <family val="2"/>
    </font>
    <font>
      <sz val="10"/>
      <color theme="1" tint="4.9989318521683403E-2"/>
      <name val="Calibri"/>
      <scheme val="minor"/>
    </font>
    <font>
      <sz val="10"/>
      <color theme="1"/>
      <name val="Calibri"/>
      <scheme val="minor"/>
    </font>
  </fonts>
  <fills count="9">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499984740745262"/>
        <bgColor theme="5"/>
      </patternFill>
    </fill>
    <fill>
      <patternFill patternType="solid">
        <fgColor theme="5" tint="-0.499984740745262"/>
        <bgColor indexed="64"/>
      </patternFill>
    </fill>
  </fills>
  <borders count="17">
    <border>
      <left/>
      <right/>
      <top/>
      <bottom/>
      <diagonal/>
    </border>
    <border>
      <left style="thick">
        <color theme="0"/>
      </left>
      <right style="thick">
        <color theme="0"/>
      </right>
      <top style="thick">
        <color theme="0"/>
      </top>
      <bottom style="thick">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right/>
      <top style="thick">
        <color theme="0"/>
      </top>
      <bottom/>
      <diagonal/>
    </border>
    <border>
      <left/>
      <right/>
      <top/>
      <bottom style="medium">
        <color theme="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s>
  <cellStyleXfs count="9">
    <xf numFmtId="0" fontId="0" fillId="0" borderId="0"/>
    <xf numFmtId="0" fontId="16" fillId="0" borderId="0" applyNumberFormat="0" applyFill="0" applyBorder="0" applyAlignment="0" applyProtection="0"/>
    <xf numFmtId="0" fontId="44" fillId="0" borderId="0"/>
    <xf numFmtId="0" fontId="45" fillId="0" borderId="0"/>
    <xf numFmtId="0" fontId="45" fillId="0" borderId="0"/>
    <xf numFmtId="0" fontId="43" fillId="0" borderId="0"/>
    <xf numFmtId="0" fontId="45" fillId="0" borderId="0"/>
    <xf numFmtId="0" fontId="46" fillId="0" borderId="0"/>
    <xf numFmtId="0" fontId="44" fillId="0" borderId="0"/>
  </cellStyleXfs>
  <cellXfs count="111">
    <xf numFmtId="0" fontId="0" fillId="0" borderId="0" xfId="0"/>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3" borderId="2" xfId="0" applyFont="1" applyFill="1" applyBorder="1" applyAlignment="1">
      <alignment horizontal="center" vertical="center"/>
    </xf>
    <xf numFmtId="0" fontId="0" fillId="0" borderId="3" xfId="0" applyFont="1" applyBorder="1" applyAlignment="1">
      <alignment horizontal="center" vertical="center"/>
    </xf>
    <xf numFmtId="0" fontId="8" fillId="4"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8" fillId="4" borderId="1" xfId="0" applyFont="1" applyFill="1" applyBorder="1" applyAlignment="1">
      <alignment horizontal="left" vertical="center" wrapText="1"/>
    </xf>
    <xf numFmtId="0" fontId="8" fillId="4" borderId="2" xfId="0" applyFont="1" applyFill="1" applyBorder="1" applyAlignment="1">
      <alignment horizontal="center" vertical="center"/>
    </xf>
    <xf numFmtId="0" fontId="8" fillId="0" borderId="3" xfId="0" applyFont="1" applyBorder="1" applyAlignment="1">
      <alignment horizontal="center" vertical="center"/>
    </xf>
    <xf numFmtId="0" fontId="9" fillId="0" borderId="1"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9" fillId="5" borderId="1" xfId="0" applyFont="1" applyFill="1" applyBorder="1" applyAlignment="1">
      <alignment horizontal="left" vertical="center" wrapText="1"/>
    </xf>
    <xf numFmtId="0" fontId="10" fillId="4" borderId="1" xfId="0" applyFont="1" applyFill="1" applyBorder="1" applyAlignment="1">
      <alignment horizontal="left" vertical="center" wrapText="1"/>
    </xf>
    <xf numFmtId="0" fontId="10" fillId="5" borderId="1" xfId="0" applyFont="1" applyFill="1" applyBorder="1" applyAlignment="1">
      <alignment horizontal="center" vertical="center" wrapText="1"/>
    </xf>
    <xf numFmtId="0" fontId="10" fillId="5" borderId="1" xfId="0" applyFont="1" applyFill="1" applyBorder="1" applyAlignment="1">
      <alignment horizontal="left" vertical="center" wrapText="1"/>
    </xf>
    <xf numFmtId="0" fontId="10" fillId="4" borderId="1" xfId="0" applyFont="1" applyFill="1" applyBorder="1" applyAlignment="1">
      <alignment horizontal="center" vertical="center" wrapText="1"/>
    </xf>
    <xf numFmtId="0" fontId="9" fillId="4" borderId="1" xfId="0" applyFont="1" applyFill="1" applyBorder="1" applyAlignment="1">
      <alignment horizontal="left" vertical="center" wrapText="1"/>
    </xf>
    <xf numFmtId="0" fontId="8" fillId="3" borderId="2" xfId="0" applyFont="1" applyFill="1" applyBorder="1" applyAlignment="1">
      <alignment horizontal="center" vertical="center"/>
    </xf>
    <xf numFmtId="0" fontId="8" fillId="3" borderId="3" xfId="0" applyFont="1" applyFill="1" applyBorder="1" applyAlignment="1">
      <alignment horizontal="center" vertical="center"/>
    </xf>
    <xf numFmtId="0" fontId="7" fillId="6" borderId="1" xfId="0" applyFont="1" applyFill="1" applyBorder="1" applyAlignment="1">
      <alignment horizontal="center" textRotation="90"/>
    </xf>
    <xf numFmtId="0" fontId="14" fillId="5" borderId="1" xfId="0" applyFont="1" applyFill="1" applyBorder="1" applyAlignment="1">
      <alignment horizontal="center" vertical="center" wrapText="1"/>
    </xf>
    <xf numFmtId="0" fontId="0" fillId="5" borderId="1" xfId="0" applyFill="1" applyBorder="1" applyAlignment="1">
      <alignment horizontal="left" vertical="center" wrapText="1"/>
    </xf>
    <xf numFmtId="0" fontId="0" fillId="4" borderId="2" xfId="0" applyFill="1" applyBorder="1" applyAlignment="1">
      <alignment horizontal="center"/>
    </xf>
    <xf numFmtId="0" fontId="0" fillId="0" borderId="3" xfId="0" applyBorder="1" applyAlignment="1">
      <alignment horizontal="center"/>
    </xf>
    <xf numFmtId="0" fontId="14" fillId="4" borderId="1" xfId="0" applyFont="1" applyFill="1" applyBorder="1" applyAlignment="1">
      <alignment horizontal="center" vertical="center" wrapText="1"/>
    </xf>
    <xf numFmtId="0" fontId="8" fillId="4" borderId="1" xfId="0" applyFont="1" applyFill="1" applyBorder="1" applyAlignment="1">
      <alignment horizontal="center" vertical="center"/>
    </xf>
    <xf numFmtId="0" fontId="0" fillId="4" borderId="2" xfId="0" applyFill="1" applyBorder="1" applyAlignment="1">
      <alignment horizontal="center" vertical="center"/>
    </xf>
    <xf numFmtId="0" fontId="0" fillId="0" borderId="3" xfId="0" applyBorder="1" applyAlignment="1">
      <alignment horizontal="center" vertical="center"/>
    </xf>
    <xf numFmtId="0" fontId="8" fillId="5" borderId="1" xfId="0" applyFont="1" applyFill="1" applyBorder="1" applyAlignment="1">
      <alignment horizontal="center" vertical="center"/>
    </xf>
    <xf numFmtId="0" fontId="15" fillId="4" borderId="0" xfId="0" applyFont="1" applyFill="1" applyAlignment="1">
      <alignment vertical="center"/>
    </xf>
    <xf numFmtId="0" fontId="14" fillId="4" borderId="0" xfId="0" applyFont="1" applyFill="1" applyBorder="1" applyAlignment="1">
      <alignment horizontal="center" vertical="center"/>
    </xf>
    <xf numFmtId="0" fontId="14" fillId="4" borderId="0" xfId="0" applyFont="1" applyFill="1" applyBorder="1" applyAlignment="1">
      <alignment horizontal="center" vertical="center" wrapText="1"/>
    </xf>
    <xf numFmtId="0" fontId="0" fillId="0" borderId="2" xfId="0" applyBorder="1" applyAlignment="1">
      <alignment horizontal="center" vertical="center"/>
    </xf>
    <xf numFmtId="0" fontId="17" fillId="4" borderId="0" xfId="1" applyFont="1" applyFill="1" applyAlignment="1">
      <alignment vertical="center"/>
    </xf>
    <xf numFmtId="0" fontId="15" fillId="5" borderId="0" xfId="0" applyFont="1" applyFill="1" applyBorder="1" applyAlignment="1">
      <alignment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18" fillId="5" borderId="0" xfId="0" applyFont="1" applyFill="1" applyBorder="1" applyAlignment="1">
      <alignment horizontal="center" vertical="center" wrapText="1"/>
    </xf>
    <xf numFmtId="0" fontId="18" fillId="5" borderId="0" xfId="0" applyFont="1" applyFill="1" applyBorder="1" applyAlignment="1">
      <alignment horizontal="center" vertical="center"/>
    </xf>
    <xf numFmtId="0" fontId="15" fillId="5" borderId="0" xfId="0" applyFont="1" applyFill="1" applyAlignment="1">
      <alignment vertical="center"/>
    </xf>
    <xf numFmtId="0" fontId="17" fillId="5" borderId="0" xfId="1" applyFont="1" applyFill="1" applyAlignment="1">
      <alignment vertical="center"/>
    </xf>
    <xf numFmtId="0" fontId="19" fillId="0" borderId="3" xfId="0" applyFont="1" applyBorder="1" applyAlignment="1">
      <alignment horizontal="center" vertical="center"/>
    </xf>
    <xf numFmtId="0" fontId="0" fillId="0" borderId="3" xfId="0" applyBorder="1" applyAlignment="1">
      <alignment horizontal="center" vertical="center" wrapText="1"/>
    </xf>
    <xf numFmtId="0" fontId="20" fillId="0" borderId="0" xfId="0" applyFont="1" applyAlignment="1">
      <alignment vertical="center"/>
    </xf>
    <xf numFmtId="0" fontId="21"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xf numFmtId="0" fontId="24" fillId="0" borderId="0" xfId="0" applyFont="1" applyAlignment="1">
      <alignment vertical="center"/>
    </xf>
    <xf numFmtId="0" fontId="25" fillId="0" borderId="0" xfId="0" applyFont="1" applyAlignment="1">
      <alignment horizontal="left" vertical="center" indent="4"/>
    </xf>
    <xf numFmtId="0" fontId="28" fillId="0" borderId="0" xfId="0" applyFont="1" applyAlignment="1">
      <alignment horizontal="left" vertical="center" indent="8"/>
    </xf>
    <xf numFmtId="0" fontId="24" fillId="0" borderId="0" xfId="0" applyFont="1" applyAlignment="1">
      <alignment horizontal="left" vertical="center" indent="8"/>
    </xf>
    <xf numFmtId="0" fontId="25" fillId="0" borderId="0" xfId="0" applyFont="1" applyAlignment="1">
      <alignment horizontal="left" vertical="center" indent="12"/>
    </xf>
    <xf numFmtId="0" fontId="24" fillId="0" borderId="0" xfId="0" applyFont="1" applyAlignment="1">
      <alignment horizontal="left" vertical="center" indent="4"/>
    </xf>
    <xf numFmtId="0" fontId="25" fillId="0" borderId="0" xfId="0" applyFont="1" applyAlignment="1">
      <alignment horizontal="justify" vertical="center"/>
    </xf>
    <xf numFmtId="0" fontId="29" fillId="0" borderId="0" xfId="0" applyFont="1" applyAlignment="1">
      <alignment horizontal="justify" vertical="center"/>
    </xf>
    <xf numFmtId="0" fontId="30" fillId="0" borderId="0" xfId="0" applyFont="1" applyAlignment="1">
      <alignment horizontal="justify" vertical="center"/>
    </xf>
    <xf numFmtId="0" fontId="22" fillId="0" borderId="0" xfId="0" applyFont="1" applyAlignment="1">
      <alignment horizontal="left" vertical="center" indent="8"/>
    </xf>
    <xf numFmtId="0" fontId="31" fillId="0" borderId="0" xfId="0" applyFont="1" applyAlignment="1">
      <alignment horizontal="left" vertical="center" indent="4"/>
    </xf>
    <xf numFmtId="0" fontId="22" fillId="0" borderId="0" xfId="0" applyFont="1" applyAlignment="1">
      <alignment horizontal="left" vertical="center" indent="4"/>
    </xf>
    <xf numFmtId="0" fontId="33" fillId="0" borderId="0" xfId="0" applyFont="1" applyAlignment="1">
      <alignment vertical="center"/>
    </xf>
    <xf numFmtId="0" fontId="34" fillId="0" borderId="0" xfId="0" applyFont="1" applyAlignment="1">
      <alignment vertical="center"/>
    </xf>
    <xf numFmtId="0" fontId="37" fillId="0" borderId="0" xfId="0" applyFont="1" applyAlignment="1">
      <alignment vertical="center"/>
    </xf>
    <xf numFmtId="0" fontId="19" fillId="0" borderId="0" xfId="0" applyFont="1" applyAlignment="1">
      <alignment vertical="center"/>
    </xf>
    <xf numFmtId="0" fontId="19" fillId="0" borderId="0" xfId="0" applyFont="1" applyAlignment="1">
      <alignment wrapText="1"/>
    </xf>
    <xf numFmtId="0" fontId="1" fillId="0" borderId="0" xfId="0" applyFont="1"/>
    <xf numFmtId="0" fontId="1" fillId="0" borderId="0" xfId="0" applyFont="1" applyFill="1"/>
    <xf numFmtId="0" fontId="1" fillId="0" borderId="0" xfId="0" applyFont="1" applyFill="1" applyAlignment="1">
      <alignment horizontal="center"/>
    </xf>
    <xf numFmtId="0" fontId="3" fillId="0" borderId="6" xfId="0" applyFont="1" applyFill="1" applyBorder="1" applyAlignment="1">
      <alignment vertical="center" wrapText="1"/>
    </xf>
    <xf numFmtId="0" fontId="39" fillId="0" borderId="6" xfId="0" applyFont="1" applyFill="1" applyBorder="1" applyAlignment="1">
      <alignment vertical="center" wrapText="1"/>
    </xf>
    <xf numFmtId="0" fontId="40" fillId="0" borderId="0" xfId="0" applyFont="1" applyFill="1"/>
    <xf numFmtId="0" fontId="3" fillId="5" borderId="6" xfId="0" applyFont="1" applyFill="1" applyBorder="1" applyAlignment="1">
      <alignment vertical="center" wrapText="1"/>
    </xf>
    <xf numFmtId="0" fontId="2" fillId="0" borderId="6" xfId="0" applyFont="1" applyFill="1" applyBorder="1" applyAlignment="1">
      <alignment vertical="center" wrapText="1"/>
    </xf>
    <xf numFmtId="0" fontId="3" fillId="0" borderId="7" xfId="0" applyFont="1" applyFill="1" applyBorder="1" applyAlignment="1">
      <alignment vertical="center" wrapText="1"/>
    </xf>
    <xf numFmtId="0" fontId="3" fillId="5" borderId="7" xfId="0" applyFont="1" applyFill="1" applyBorder="1" applyAlignment="1">
      <alignment vertical="center" wrapText="1"/>
    </xf>
    <xf numFmtId="0" fontId="39" fillId="0" borderId="7" xfId="0" applyFont="1" applyFill="1" applyBorder="1" applyAlignment="1">
      <alignment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42" fillId="0" borderId="6" xfId="0" applyFont="1" applyBorder="1" applyAlignment="1">
      <alignment wrapText="1"/>
    </xf>
    <xf numFmtId="0" fontId="1" fillId="0" borderId="8" xfId="0" applyFont="1" applyBorder="1" applyAlignment="1">
      <alignment wrapText="1"/>
    </xf>
    <xf numFmtId="0" fontId="42" fillId="0" borderId="13" xfId="0" applyFont="1" applyBorder="1" applyAlignment="1">
      <alignment wrapText="1"/>
    </xf>
    <xf numFmtId="0" fontId="1" fillId="0" borderId="14" xfId="0" applyFont="1" applyBorder="1" applyAlignment="1">
      <alignment wrapText="1"/>
    </xf>
    <xf numFmtId="0" fontId="49" fillId="0" borderId="6" xfId="0" applyFont="1" applyFill="1" applyBorder="1" applyAlignment="1">
      <alignment vertical="center" wrapText="1"/>
    </xf>
    <xf numFmtId="0" fontId="49" fillId="5" borderId="7" xfId="0" applyFont="1" applyFill="1" applyBorder="1" applyAlignment="1">
      <alignment vertical="center" wrapText="1"/>
    </xf>
    <xf numFmtId="0" fontId="49" fillId="0" borderId="7" xfId="0" applyFont="1" applyFill="1" applyBorder="1" applyAlignment="1">
      <alignment vertical="center"/>
    </xf>
    <xf numFmtId="0" fontId="49" fillId="0" borderId="7" xfId="0" applyFont="1" applyFill="1" applyBorder="1" applyAlignment="1">
      <alignment vertical="center" wrapText="1"/>
    </xf>
    <xf numFmtId="0" fontId="49" fillId="0" borderId="6" xfId="0" applyFont="1" applyFill="1" applyBorder="1" applyAlignment="1">
      <alignment horizontal="center" vertical="center" wrapText="1"/>
    </xf>
    <xf numFmtId="0" fontId="49" fillId="0" borderId="13" xfId="0" applyFont="1" applyFill="1" applyBorder="1" applyAlignment="1">
      <alignment vertical="center" wrapText="1"/>
    </xf>
    <xf numFmtId="0" fontId="0" fillId="0" borderId="0" xfId="0" applyAlignment="1">
      <alignment wrapText="1"/>
    </xf>
    <xf numFmtId="0" fontId="0" fillId="0" borderId="0" xfId="0" applyAlignment="1">
      <alignment horizontal="left" vertical="center" wrapText="1"/>
    </xf>
    <xf numFmtId="0" fontId="47" fillId="7" borderId="15" xfId="0" applyFont="1" applyFill="1" applyBorder="1" applyAlignment="1">
      <alignment horizontal="left" vertical="center" wrapText="1"/>
    </xf>
    <xf numFmtId="0" fontId="48" fillId="0" borderId="0" xfId="0" applyFont="1" applyFill="1" applyAlignment="1">
      <alignment horizontal="left" vertical="center" wrapText="1"/>
    </xf>
    <xf numFmtId="0" fontId="0" fillId="0" borderId="0" xfId="0" applyFont="1" applyAlignment="1">
      <alignment horizontal="left" vertical="center" wrapText="1" indent="1"/>
    </xf>
    <xf numFmtId="0" fontId="48" fillId="0" borderId="0" xfId="0" applyFont="1" applyAlignment="1">
      <alignment horizontal="left" vertical="center" wrapText="1" indent="1"/>
    </xf>
    <xf numFmtId="0" fontId="51" fillId="8" borderId="16" xfId="0" applyFont="1" applyFill="1" applyBorder="1" applyAlignment="1">
      <alignment horizontal="left" vertical="center" wrapText="1" indent="1"/>
    </xf>
    <xf numFmtId="0" fontId="52" fillId="0" borderId="13" xfId="0" applyFont="1" applyBorder="1" applyAlignment="1">
      <alignment wrapText="1"/>
    </xf>
    <xf numFmtId="0" fontId="53" fillId="0" borderId="14" xfId="0" applyFont="1" applyBorder="1" applyAlignment="1">
      <alignment wrapText="1"/>
    </xf>
    <xf numFmtId="0" fontId="2" fillId="0" borderId="13" xfId="0" applyFont="1" applyFill="1" applyBorder="1" applyAlignment="1">
      <alignment vertical="center" wrapText="1"/>
    </xf>
    <xf numFmtId="0" fontId="7" fillId="4" borderId="1" xfId="0" applyFont="1" applyFill="1" applyBorder="1" applyAlignment="1">
      <alignment horizontal="center" vertical="center" textRotation="90"/>
    </xf>
    <xf numFmtId="0" fontId="7" fillId="4" borderId="1" xfId="0" applyFont="1" applyFill="1" applyBorder="1" applyAlignment="1">
      <alignment horizontal="center" vertical="center" textRotation="90" wrapText="1"/>
    </xf>
    <xf numFmtId="0" fontId="7" fillId="6" borderId="1" xfId="0" applyFont="1" applyFill="1" applyBorder="1" applyAlignment="1">
      <alignment horizontal="center" vertical="center" textRotation="90" wrapText="1"/>
    </xf>
    <xf numFmtId="0" fontId="7" fillId="4" borderId="4" xfId="0" applyFont="1" applyFill="1" applyBorder="1" applyAlignment="1">
      <alignment horizontal="center" vertical="center" textRotation="90" wrapText="1"/>
    </xf>
    <xf numFmtId="0" fontId="7" fillId="4" borderId="0" xfId="0" applyFont="1" applyFill="1" applyBorder="1" applyAlignment="1">
      <alignment horizontal="center" vertical="center" textRotation="90" wrapText="1"/>
    </xf>
    <xf numFmtId="0" fontId="7" fillId="4" borderId="5" xfId="0" applyFont="1" applyFill="1" applyBorder="1" applyAlignment="1">
      <alignment horizontal="center" vertical="center" textRotation="90" wrapText="1"/>
    </xf>
    <xf numFmtId="0" fontId="39" fillId="0" borderId="13" xfId="0" applyFont="1" applyFill="1" applyBorder="1" applyAlignment="1">
      <alignment vertical="center" wrapText="1"/>
    </xf>
    <xf numFmtId="0" fontId="49" fillId="0" borderId="12" xfId="0" applyFont="1" applyFill="1" applyBorder="1" applyAlignment="1">
      <alignment vertical="center"/>
    </xf>
    <xf numFmtId="0" fontId="49" fillId="0" borderId="13" xfId="0" applyFont="1" applyFill="1" applyBorder="1" applyAlignment="1">
      <alignment horizontal="left" vertical="center" wrapText="1"/>
    </xf>
    <xf numFmtId="0" fontId="2" fillId="0" borderId="12" xfId="0" applyFont="1" applyFill="1" applyBorder="1" applyAlignment="1">
      <alignment vertical="center" wrapText="1"/>
    </xf>
  </cellXfs>
  <cellStyles count="9">
    <cellStyle name="Hiperlink" xfId="1" builtinId="8"/>
    <cellStyle name="Normal" xfId="0" builtinId="0"/>
    <cellStyle name="Normal 16 2" xfId="4"/>
    <cellStyle name="Normal 2" xfId="2"/>
    <cellStyle name="Normal 2 2" xfId="3"/>
    <cellStyle name="Normal 2 3" xfId="5"/>
    <cellStyle name="Normal 3" xfId="6"/>
    <cellStyle name="Normal 5" xfId="7"/>
    <cellStyle name="Normal 7" xfId="8"/>
  </cellStyles>
  <dxfs count="51">
    <dxf>
      <font>
        <b val="0"/>
        <i val="0"/>
        <strike val="0"/>
        <condense val="0"/>
        <extend val="0"/>
        <outline val="0"/>
        <shadow val="0"/>
        <u val="none"/>
        <vertAlign val="baseline"/>
        <sz val="10"/>
        <color theme="1"/>
        <name val="Calibri"/>
        <scheme val="minor"/>
      </font>
      <alignment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tint="4.9989318521683403E-2"/>
        <name val="Calibri"/>
        <scheme val="minor"/>
      </font>
      <alignment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Calibri"/>
        <scheme val="minor"/>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Calibri"/>
        <scheme val="minor"/>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Calibri"/>
        <scheme val="minor"/>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Calibri"/>
        <scheme val="minor"/>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Calibri"/>
        <scheme val="minor"/>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Calibri"/>
        <scheme val="minor"/>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Calibri"/>
        <scheme val="minor"/>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Calibri"/>
        <scheme val="minor"/>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Calibri"/>
        <scheme val="minor"/>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Calibri"/>
        <scheme val="minor"/>
      </font>
      <fill>
        <patternFill patternType="none">
          <fgColor indexed="64"/>
          <bgColor indexed="65"/>
        </patternFill>
      </fill>
      <alignment horizontal="general"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0000"/>
        <name val="Calibri"/>
        <scheme val="minor"/>
      </font>
      <fill>
        <patternFill patternType="none">
          <fgColor indexed="64"/>
          <bgColor indexed="65"/>
        </patternFill>
      </fill>
      <alignment horizontal="general" vertical="center" textRotation="0" wrapText="1" indent="0" justifyLastLine="0" shrinkToFit="0" readingOrder="0"/>
    </dxf>
    <dxf>
      <border>
        <bottom style="thin">
          <color indexed="64"/>
        </bottom>
      </border>
    </dxf>
    <dxf>
      <font>
        <b/>
        <i val="0"/>
        <strike val="0"/>
        <condense val="0"/>
        <extend val="0"/>
        <outline val="0"/>
        <shadow val="0"/>
        <u val="none"/>
        <vertAlign val="baseline"/>
        <sz val="12"/>
        <color theme="0"/>
        <name val="Calibri"/>
        <scheme val="minor"/>
      </font>
      <fill>
        <patternFill patternType="solid">
          <fgColor indexed="64"/>
          <bgColor rgb="FFFF000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z val="12"/>
      </font>
    </dxf>
    <dxf>
      <alignment wrapText="1" readingOrder="0"/>
    </dxf>
    <dxf>
      <alignment indent="1" readingOrder="0"/>
    </dxf>
    <dxf>
      <border>
        <right style="thin">
          <color theme="0" tint="-0.499984740745262"/>
        </right>
        <top style="thin">
          <color theme="0" tint="-0.499984740745262"/>
        </top>
        <bottom style="thin">
          <color theme="0" tint="-0.499984740745262"/>
        </bottom>
        <vertical/>
      </border>
    </dxf>
    <dxf>
      <fill>
        <patternFill>
          <bgColor theme="5" tint="-0.499984740745262"/>
        </patternFill>
      </fill>
    </dxf>
    <dxf>
      <font>
        <b/>
      </font>
    </dxf>
    <dxf>
      <alignment horizontal="left" readingOrder="0"/>
    </dxf>
    <dxf>
      <alignment vertical="center" readingOrder="0"/>
    </dxf>
    <dxf>
      <font>
        <color theme="0"/>
      </font>
    </dxf>
    <dxf>
      <font>
        <color theme="0"/>
      </font>
    </dxf>
    <dxf>
      <alignment vertical="center" readingOrder="0"/>
    </dxf>
    <dxf>
      <font>
        <b val="0"/>
      </font>
    </dxf>
    <dxf>
      <alignment wrapText="1" indent="0" readingOrder="0"/>
    </dxf>
    <dxf>
      <font>
        <b val="0"/>
        <i val="0"/>
        <color theme="0"/>
      </font>
      <fill>
        <patternFill>
          <bgColor theme="5" tint="-0.2499465926084170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color theme="0"/>
      </font>
      <fill>
        <patternFill>
          <bgColor theme="5" tint="-0.2499465926084170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color theme="0"/>
      </font>
      <fill>
        <patternFill>
          <bgColor theme="5" tint="-0.2499465926084170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color theme="0"/>
      </font>
      <fill>
        <patternFill>
          <bgColor theme="5" tint="-0.2499465926084170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color theme="0"/>
      </font>
      <fill>
        <patternFill>
          <bgColor theme="5" tint="-0.2499465926084170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patternType="solid">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color theme="1"/>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color theme="1"/>
      </font>
      <fill>
        <patternFill patternType="solid">
          <fgColor indexed="64"/>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color theme="0"/>
      </font>
      <fill>
        <patternFill patternType="solid">
          <fgColor theme="5"/>
          <bgColor theme="5" tint="-0.24994659260841701"/>
        </patternFill>
      </fill>
      <border>
        <left/>
        <right style="thin">
          <color theme="0" tint="-0.499984740745262"/>
        </right>
        <top style="thin">
          <color theme="0" tint="-0.499984740745262"/>
        </top>
        <bottom style="thin">
          <color theme="0" tint="-0.499984740745262"/>
        </bottom>
      </border>
    </dxf>
    <dxf>
      <fill>
        <patternFill patternType="solid">
          <fgColor theme="5" tint="0.79998168889431442"/>
          <bgColor theme="5" tint="0.79998168889431442"/>
        </patternFill>
      </fill>
    </dxf>
    <dxf>
      <fill>
        <patternFill patternType="solid">
          <fgColor theme="5" tint="0.79998168889431442"/>
          <bgColor theme="5" tint="0.79998168889431442"/>
        </patternFill>
      </fill>
    </dxf>
    <dxf>
      <font>
        <b val="0"/>
        <i val="0"/>
        <color theme="1"/>
      </font>
    </dxf>
    <dxf>
      <font>
        <b val="0"/>
        <i val="0"/>
        <color theme="1"/>
      </font>
      <fill>
        <patternFill patternType="solid">
          <fgColor theme="5" tint="0.79998168889431442"/>
          <bgColor theme="5" tint="0.79998168889431442"/>
        </patternFill>
      </fill>
    </dxf>
    <dxf>
      <font>
        <b val="0"/>
        <i val="0"/>
        <color theme="1"/>
      </font>
    </dxf>
    <dxf>
      <font>
        <b val="0"/>
        <i val="0"/>
        <color theme="1"/>
      </font>
      <fill>
        <patternFill patternType="solid">
          <fgColor theme="5" tint="0.59999389629810485"/>
          <bgColor theme="5" tint="0.59999389629810485"/>
        </patternFill>
      </fill>
    </dxf>
    <dxf>
      <font>
        <b val="0"/>
        <i val="0"/>
        <color theme="1"/>
      </font>
      <border>
        <left style="medium">
          <color theme="5" tint="0.59999389629810485"/>
        </left>
        <right style="medium">
          <color theme="5" tint="0.59999389629810485"/>
        </right>
        <top style="medium">
          <color theme="5" tint="0.59999389629810485"/>
        </top>
        <bottom style="medium">
          <color theme="5" tint="0.59999389629810485"/>
        </bottom>
      </border>
    </dxf>
    <dxf>
      <border>
        <left style="thin">
          <color theme="5" tint="0.39997558519241921"/>
        </left>
        <right style="thin">
          <color theme="5" tint="0.39997558519241921"/>
        </right>
      </border>
    </dxf>
    <dxf>
      <border>
        <top style="thin">
          <color theme="5" tint="0.39997558519241921"/>
        </top>
        <bottom style="thin">
          <color theme="5" tint="0.39997558519241921"/>
        </bottom>
        <horizontal style="thin">
          <color theme="5" tint="0.39997558519241921"/>
        </horizontal>
      </border>
    </dxf>
    <dxf>
      <font>
        <b val="0"/>
        <i val="0"/>
        <color theme="1"/>
      </font>
      <border>
        <top style="thin">
          <color theme="5" tint="-0.249977111117893"/>
        </top>
        <bottom style="medium">
          <color theme="5" tint="-0.249977111117893"/>
        </bottom>
      </border>
    </dxf>
    <dxf>
      <font>
        <b val="0"/>
        <i val="0"/>
        <color theme="0"/>
      </font>
      <fill>
        <patternFill patternType="solid">
          <fgColor theme="5"/>
          <bgColor theme="5"/>
        </patternFill>
      </fill>
      <border>
        <top style="medium">
          <color theme="5" tint="-0.249977111117893"/>
        </top>
      </border>
    </dxf>
    <dxf>
      <font>
        <b val="0"/>
        <i val="0"/>
        <color theme="1"/>
      </font>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2" defaultTableStyle="TableStyleMedium2" defaultPivotStyle="PivotStyleMedium10 2 2">
    <tableStyle name="PivotStyleMedium10 2" table="0" count="12">
      <tableStyleElement type="wholeTable" dxfId="50"/>
      <tableStyleElement type="headerRow" dxfId="49"/>
      <tableStyleElement type="totalRow" dxfId="48"/>
      <tableStyleElement type="firstRowStripe" dxfId="47"/>
      <tableStyleElement type="firstColumnStripe" dxfId="46"/>
      <tableStyleElement type="firstSubtotalColumn" dxfId="45"/>
      <tableStyleElement type="firstSubtotalRow" dxfId="44"/>
      <tableStyleElement type="secondSubtotalRow" dxfId="43"/>
      <tableStyleElement type="firstRowSubheading" dxfId="42"/>
      <tableStyleElement type="secondRowSubheading" dxfId="41"/>
      <tableStyleElement type="pageFieldLabels" dxfId="40"/>
      <tableStyleElement type="pageFieldValues" dxfId="39"/>
    </tableStyle>
    <tableStyle name="PivotStyleMedium10 2 2" table="0" count="4">
      <tableStyleElement type="headerRow" dxfId="38"/>
      <tableStyleElement type="firstRowSubheading" dxfId="37"/>
      <tableStyleElement type="secondRowSubheading" dxfId="36"/>
      <tableStyleElement type="thirdRowSubheading" dxfId="35"/>
    </tableStyle>
  </tableStyles>
  <colors>
    <mruColors>
      <color rgb="FFC35451"/>
      <color rgb="FFB01414"/>
      <color rgb="FFB50D1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2</xdr:col>
      <xdr:colOff>105834</xdr:colOff>
      <xdr:row>0</xdr:row>
      <xdr:rowOff>0</xdr:rowOff>
    </xdr:from>
    <xdr:to>
      <xdr:col>2</xdr:col>
      <xdr:colOff>12356042</xdr:colOff>
      <xdr:row>19</xdr:row>
      <xdr:rowOff>201083</xdr:rowOff>
    </xdr:to>
    <xdr:grpSp>
      <xdr:nvGrpSpPr>
        <xdr:cNvPr id="14" name="Grupo 13"/>
        <xdr:cNvGrpSpPr/>
      </xdr:nvGrpSpPr>
      <xdr:grpSpPr>
        <a:xfrm>
          <a:off x="4519084" y="0"/>
          <a:ext cx="12250208" cy="8106833"/>
          <a:chOff x="4519084" y="0"/>
          <a:chExt cx="12250208" cy="7535333"/>
        </a:xfrm>
      </xdr:grpSpPr>
      <xdr:sp macro="" textlink="">
        <xdr:nvSpPr>
          <xdr:cNvPr id="12" name="Retângulo 11"/>
          <xdr:cNvSpPr/>
        </xdr:nvSpPr>
        <xdr:spPr>
          <a:xfrm>
            <a:off x="4519084" y="0"/>
            <a:ext cx="12250208" cy="7535333"/>
          </a:xfrm>
          <a:prstGeom prst="rect">
            <a:avLst/>
          </a:prstGeom>
          <a:solidFill>
            <a:schemeClr val="bg1"/>
          </a:solidFill>
          <a:ln w="6350">
            <a:solidFill>
              <a:srgbClr val="B50D1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mc:AlternateContent xmlns:mc="http://schemas.openxmlformats.org/markup-compatibility/2006" xmlns:a14="http://schemas.microsoft.com/office/drawing/2010/main">
        <mc:Choice Requires="a14">
          <xdr:graphicFrame macro="">
            <xdr:nvGraphicFramePr>
              <xdr:cNvPr id="2" name="Etapa"/>
              <xdr:cNvGraphicFramePr>
                <a:graphicFrameLocks/>
              </xdr:cNvGraphicFramePr>
            </xdr:nvGraphicFramePr>
            <xdr:xfrm>
              <a:off x="14372369" y="0"/>
              <a:ext cx="2337259" cy="1357032"/>
            </xdr:xfrm>
            <a:graphic>
              <a:graphicData uri="http://schemas.microsoft.com/office/drawing/2010/slicer">
                <sle:slicer xmlns:sle="http://schemas.microsoft.com/office/drawing/2010/slicer" name="Etapa"/>
              </a:graphicData>
            </a:graphic>
          </xdr:graphicFrame>
        </mc:Choice>
        <mc:Fallback xmlns="">
          <xdr:sp macro="" textlink="">
            <xdr:nvSpPr>
              <xdr:cNvPr id="0" name=""/>
              <xdr:cNvSpPr>
                <a:spLocks noTextEdit="1"/>
              </xdr:cNvSpPr>
            </xdr:nvSpPr>
            <xdr:spPr>
              <a:xfrm>
                <a:off x="14372369" y="0"/>
                <a:ext cx="2337259" cy="1459953"/>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mc:AlternateContent xmlns:mc="http://schemas.openxmlformats.org/markup-compatibility/2006" xmlns:a14="http://schemas.microsoft.com/office/drawing/2010/main">
        <mc:Choice Requires="a14">
          <xdr:graphicFrame macro="">
            <xdr:nvGraphicFramePr>
              <xdr:cNvPr id="3" name="Categoria"/>
              <xdr:cNvGraphicFramePr/>
            </xdr:nvGraphicFramePr>
            <xdr:xfrm>
              <a:off x="14377177" y="1451914"/>
              <a:ext cx="2335159" cy="2263465"/>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4377177" y="1562031"/>
                <a:ext cx="2335159" cy="2435132"/>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mc:AlternateContent xmlns:mc="http://schemas.openxmlformats.org/markup-compatibility/2006" xmlns:a14="http://schemas.microsoft.com/office/drawing/2010/main">
        <mc:Choice Requires="a14">
          <xdr:graphicFrame macro="">
            <xdr:nvGraphicFramePr>
              <xdr:cNvPr id="4" name="Confirmação / Amendment"/>
              <xdr:cNvGraphicFramePr>
                <a:graphicFrameLocks/>
              </xdr:cNvGraphicFramePr>
            </xdr:nvGraphicFramePr>
            <xdr:xfrm>
              <a:off x="14379882" y="3807595"/>
              <a:ext cx="2337259" cy="2173886"/>
            </xdr:xfrm>
            <a:graphic>
              <a:graphicData uri="http://schemas.microsoft.com/office/drawing/2010/slicer">
                <sle:slicer xmlns:sle="http://schemas.microsoft.com/office/drawing/2010/slicer" name="Confirmação / Amendment"/>
              </a:graphicData>
            </a:graphic>
          </xdr:graphicFrame>
        </mc:Choice>
        <mc:Fallback xmlns="">
          <xdr:sp macro="" textlink="">
            <xdr:nvSpPr>
              <xdr:cNvPr id="0" name=""/>
              <xdr:cNvSpPr>
                <a:spLocks noTextEdit="1"/>
              </xdr:cNvSpPr>
            </xdr:nvSpPr>
            <xdr:spPr>
              <a:xfrm>
                <a:off x="14379882" y="4096373"/>
                <a:ext cx="2337259" cy="2338759"/>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mc:AlternateContent xmlns:mc="http://schemas.openxmlformats.org/markup-compatibility/2006" xmlns:a14="http://schemas.microsoft.com/office/drawing/2010/main">
        <mc:Choice Requires="a14">
          <xdr:graphicFrame macro="">
            <xdr:nvGraphicFramePr>
              <xdr:cNvPr id="5" name="Qual a restrição?"/>
              <xdr:cNvGraphicFramePr/>
            </xdr:nvGraphicFramePr>
            <xdr:xfrm>
              <a:off x="4587054" y="0"/>
              <a:ext cx="9710820" cy="7482417"/>
            </xdr:xfrm>
            <a:graphic>
              <a:graphicData uri="http://schemas.microsoft.com/office/drawing/2010/slicer">
                <sle:slicer xmlns:sle="http://schemas.microsoft.com/office/drawing/2010/slicer" name="Qual a restrição?"/>
              </a:graphicData>
            </a:graphic>
          </xdr:graphicFrame>
        </mc:Choice>
        <mc:Fallback xmlns="">
          <xdr:sp macro="" textlink="">
            <xdr:nvSpPr>
              <xdr:cNvPr id="0" name=""/>
              <xdr:cNvSpPr>
                <a:spLocks noTextEdit="1"/>
              </xdr:cNvSpPr>
            </xdr:nvSpPr>
            <xdr:spPr>
              <a:xfrm>
                <a:off x="4587054" y="0"/>
                <a:ext cx="9710820" cy="8049904"/>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sp macro="[0]!limpar_filtros" textlink="">
        <xdr:nvSpPr>
          <xdr:cNvPr id="8" name="Retângulo de cantos arredondados 7"/>
          <xdr:cNvSpPr/>
        </xdr:nvSpPr>
        <xdr:spPr>
          <a:xfrm>
            <a:off x="14413177" y="6249439"/>
            <a:ext cx="2229113" cy="550333"/>
          </a:xfrm>
          <a:prstGeom prst="roundRect">
            <a:avLst/>
          </a:prstGeom>
          <a:solidFill>
            <a:schemeClr val="accent2">
              <a:lumMod val="75000"/>
            </a:schemeClr>
          </a:solidFill>
          <a:ln>
            <a:noFill/>
          </a:ln>
          <a:effectLst>
            <a:outerShdw blurRad="50800" dist="50800" dir="3600000" sx="101000" sy="101000" algn="ctr" rotWithShape="0">
              <a:srgbClr val="000000">
                <a:alpha val="43137"/>
              </a:srgb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2000" b="1"/>
              <a:t>Limpar</a:t>
            </a:r>
            <a:r>
              <a:rPr lang="pt-BR" sz="2000" b="1" baseline="0"/>
              <a:t> Filtros</a:t>
            </a:r>
            <a:endParaRPr lang="pt-BR" sz="2000" b="1"/>
          </a:p>
        </xdr:txBody>
      </xdr:sp>
    </xdr:grpSp>
    <xdr:clientData/>
  </xdr:twoCellAnchor>
  <xdr:twoCellAnchor editAs="absolute">
    <xdr:from>
      <xdr:col>2</xdr:col>
      <xdr:colOff>10234079</xdr:colOff>
      <xdr:row>18</xdr:row>
      <xdr:rowOff>31730</xdr:rowOff>
    </xdr:from>
    <xdr:to>
      <xdr:col>2</xdr:col>
      <xdr:colOff>12001496</xdr:colOff>
      <xdr:row>19</xdr:row>
      <xdr:rowOff>137564</xdr:rowOff>
    </xdr:to>
    <xdr:sp macro="[0]!atualizar_da_base" textlink="">
      <xdr:nvSpPr>
        <xdr:cNvPr id="6" name="CaixaDeTexto 5"/>
        <xdr:cNvSpPr txBox="1"/>
      </xdr:nvSpPr>
      <xdr:spPr>
        <a:xfrm>
          <a:off x="14647329" y="7778730"/>
          <a:ext cx="1767417" cy="264584"/>
        </a:xfrm>
        <a:prstGeom prst="round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u="none">
              <a:solidFill>
                <a:srgbClr val="FF0000"/>
              </a:solidFill>
            </a:rPr>
            <a:t>Atualizar remarks da base.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osta, Joao" refreshedDate="43812.644256712963" createdVersion="4" refreshedVersion="4" minRefreshableVersion="3" recordCount="55">
  <cacheSource type="worksheet">
    <worksheetSource name="BaseDinamica"/>
  </cacheSource>
  <cacheFields count="12">
    <cacheField name="Etapa" numFmtId="0">
      <sharedItems count="4">
        <s v="Submetidos a aprovação"/>
        <s v="Notificação"/>
        <s v="Retorno após análise"/>
        <s v="Retorno após analise" u="1"/>
      </sharedItems>
    </cacheField>
    <cacheField name="Categoria" numFmtId="0">
      <sharedItems count="13">
        <s v="1) Alocação"/>
        <s v="2) Booking"/>
        <s v="3) Destino"/>
        <s v="4) Logistica"/>
        <s v="5) Negociação"/>
        <s v="6) Operacional"/>
        <s v="7) Instant Booking"/>
        <s v="Operacional" u="1"/>
        <s v="Destino" u="1"/>
        <s v="Alocação" u="1"/>
        <s v="Negociação" u="1"/>
        <s v="Logistica" u="1"/>
        <s v="Booking" u="1"/>
      </sharedItems>
    </cacheField>
    <cacheField name="Confirmação / Amendment" numFmtId="0">
      <sharedItems count="7">
        <s v="Confirmed / Amendment"/>
        <s v="Confirmed"/>
        <s v="Amendment"/>
        <s v="Draft"/>
        <s v="Cancelled"/>
        <s v="Confirmação" u="1"/>
        <s v="Confirmação / Amendment" u="1"/>
      </sharedItems>
    </cacheField>
    <cacheField name="Qual a restrição?" numFmtId="0">
      <sharedItems count="102">
        <s v="1) Alteração de POD (NYC)"/>
        <s v="1) Análise_x000a_Transbordo"/>
        <s v="1) BCO/COA/REEFER/NVOCC/BASE MARKET- sem espaço nas 8 semanas"/>
        <s v="1) Booking confirmado em NAVIO diferente do solicitado por restriçao de ESPAÇO."/>
        <s v="1) NVO - sem espaço nas 2 semanas após navio solicitado, considerando 8 semanas de antecedencia."/>
        <s v="1) Sem negociação e sem espaço para as proximas 6 (BCO) ou 2 (NVO) semanas"/>
        <s v="1) SPL Ajuste de quantidade por falta de aprovação Over"/>
        <s v="1) SPL Over"/>
        <s v="1) Substituição de Booking solicitada sob analise do PM - entre SC's"/>
        <s v="1) Substituição de Booking solicitada Não aprovado pelo PM "/>
        <s v="2) Alexandria (Confirmação de terminal)"/>
        <s v="2) Alteração de POD"/>
        <s v="2) Amendmente recebido sem informação detalhada no campo Customer Comments (Inttra)"/>
        <s v="2) Booking confirmado em NAVIO diferente do solicitado por erro no TRADE"/>
        <s v="2) Cancelamento devido a segunda transferência"/>
        <s v="2) Cancelamento Inttra"/>
        <s v="2) Limão (setagem)"/>
        <s v="2) Modalidade de transporte no destino (Bremen)"/>
        <s v="2) Modalidade de transporte RAIL (Ecna)"/>
        <s v="2) Pagamento Elsewhere não acordado "/>
        <s v="2) PDF fretado - Modalidade de Pagamento."/>
        <s v="3) Luanda"/>
        <s v="4) Embarque de SOC (sem ser tanque) LOI AD HOC (not approved) "/>
        <s v="4) Embarque de SOC (sem ser tanque) Shipper Approved "/>
        <s v="4) Foodgrade"/>
        <s v="4) SOC - tank( no imo) - shipper approved"/>
        <s v="4) SOC tank - LOI AD HOC ( no imo/not approved) "/>
        <s v="5) Sem negociação válida"/>
        <s v="5) Negociação utilizada diferente da informada em sistema"/>
        <s v="6) Carga Perigosa (ITJ)"/>
        <s v="6) Carga Perigosa (SSZ)"/>
        <s v="6) Carga Perigosa (ITJ) / Oxiteno (cliente autorizado a retirar vazio e depositar cheio)"/>
        <s v="6) Carga Perigosa (SSZ) / Oxiteno / Nexa / CBC  (clientes autorizados a retirar vazio e depositar cheio)"/>
        <s v="6) Carvão"/>
        <s v="6) Embarque com excesso - OOG"/>
        <s v="6) Embarque com excesso - OOG (aprovado)"/>
        <s v="6) Embarques Pharma"/>
        <s v="6) Flexitank"/>
        <s v="6) Overweight"/>
        <s v="6) Scrap (Docs para confirmação da reserva)"/>
        <s v="6) Underdeck/special stowage."/>
        <s v="6) Wet Blue (navio de parceiro)"/>
        <s v="3) Venezuela"/>
        <s v="1) Pedido acima de 8 semanas"/>
        <s v="1) Booking confirmado em NAVIO diferente do solicitado por restriçao de ESPAÇO no FEEDER"/>
        <s v="6) Embarque com excesso sem informacao correta das medidas da carga - OOG"/>
        <s v="4) Embarque com equipamento especial (FR/OT)"/>
        <s v="7) Instant - Cancelamento parcial"/>
        <s v="7) Instant - No show parcial"/>
        <s v="7) Instant - Cancelamento/ total"/>
        <s v="7) Instant - No show total"/>
        <s v="1) OTHERS / SPOT Over"/>
        <s v="Carga Perigosa" u="1"/>
        <s v="BCO/COA/REEFER/NVOCC/BASE MARKET- sem espaço nas 8 semanas" u="1"/>
        <s v="6) Carga Perigosa (SSZ) / Oxiteno (cliente autorizado a retirar vazio e depositar cheio)" u="1"/>
        <s v="Carga Perigosa / Oxiteno (cliente autorizado a retirar vazio e depositar cheio)" u="1"/>
        <s v="Modalidade de transporte no destino (Bremen)" u="1"/>
        <s v="Underdeck/special stowage." u="1"/>
        <s v="Amendmente recebido sem informação detalhada no campo Customer Comments (Inttra)" u="1"/>
        <s v="Pedido acima de 8 semanas" u="1"/>
        <s v="Carvão" u="1"/>
        <s v="Venezuela" u="1"/>
        <s v="SOC tank - LOI AD HOC ( no imo/not approved) " u="1"/>
        <s v="Carga Perigosa / Oxiteno / Nexa / CBC  (clientes autorizados a retirar vazio e depositar cheio)" u="1"/>
        <s v="Booking confirmado em NAVIO diferente do solicitado por restriçao de ESPAÇO no FEEDER" u="1"/>
        <s v="Embarque de SOC (sem ser tanque) Shipper Approved " u="1"/>
        <s v="SPL Ajuste de quantidade por falta de aprovação Over" u="1"/>
        <s v="6) Carga Perigosa / Oxiteno / Nexa / CBC  (clientes autorizados a retirar vazio e depositar cheio)" u="1"/>
        <s v="Booking confirmado em NAVIO diferente do solicitado por restriçao de ESPAÇO." u="1"/>
        <s v="Alexandria (Confirmação de terminal)" u="1"/>
        <s v="Alteração de POD (NYC)" u="1"/>
        <s v="Modalidade de transporte RAIL (Ecna)" u="1"/>
        <s v="PDF fretado - Modalidade de Pagamento." u="1"/>
        <s v="Wet Blue (navio de parceiro)" u="1"/>
        <s v="Análise_x000a_Transbordo" u="1"/>
        <s v="Cancelamento Inttra" u="1"/>
        <s v="Overweight" u="1"/>
        <s v="6) Carga Perigosa" u="1"/>
        <s v="Sem negociação válida" u="1"/>
        <s v="Embarques Pharma" u="1"/>
        <s v="SOC - tank( no imo) - shipper approved" u="1"/>
        <s v="Sem negociação e sem espaço para as proximas 6 (BCO) ou 2 (NVO) semanas" u="1"/>
        <s v="Embarque com excesso - OOG (aprovado)" u="1"/>
        <s v="Embarque com equipamento especial (FR/OT)" u="1"/>
        <s v="Cancelamento devido a segunda transferência" u="1"/>
        <s v="Embarque de SOC (sem ser tanque) LOI AD HOC (not approved) " u="1"/>
        <s v="Substituição de Booking solicitada Não aprovado pelo PM " u="1"/>
        <s v="6) Carga Perigosa / Oxiteno (cliente autorizado a retirar vazio e depositar cheio)" u="1"/>
        <s v="Foodgrade" u="1"/>
        <s v="Booking confirmado em NAVIO diferente do solicitado por erro no TRADE" u="1"/>
        <s v="Scrap (Docs para confirmação da reserva)" u="1"/>
        <s v="NVO - sem espaço nas 2 semanas após navio solicitado, considerando 8 semanas de antecedencia." u="1"/>
        <s v="Luanda" u="1"/>
        <s v="Limão (setagem)" u="1"/>
        <s v="Flexitank" u="1"/>
        <s v="Embarque com excesso sem informacao correta das medidas da carga - OOG" u="1"/>
        <s v="Substituição de Booking solicitada sob analise do PM - entre SC's" u="1"/>
        <s v="Alteração de POD" u="1"/>
        <s v="Embarque com excesso - OOG" u="1"/>
        <s v="SPL Over" u="1"/>
        <s v="Pagamento Elsewhere não acordado " u="1"/>
        <s v="Negociação utilizada diferente da informada em sistema" u="1"/>
      </sharedItems>
    </cacheField>
    <cacheField name="Status do booking no Globe" numFmtId="0">
      <sharedItems count="11">
        <s v="ON HOLD - sem TP"/>
        <s v="CANCELLED"/>
        <s v="CONFIRMED"/>
        <s v="REJECTED"/>
        <s v="APPROVED - sem Liberação de Vazio"/>
        <s v="WAITLISTED - sem Liberação do Vazio_x000a_"/>
        <s v="WAITLISTED_x000a_"/>
        <s v="APPROVED_x000a_Para devida liberação de vazio"/>
        <s v="WAITLISTED - sem Liberação do Vazio"/>
        <s v="APPROVED - sem Liberação do Vazio"/>
        <s v="CONFIRMED_x000a_" u="1"/>
      </sharedItems>
    </cacheField>
    <cacheField name="O que fazer no sistema" numFmtId="0">
      <sharedItems containsBlank="1" count="10">
        <s v="Sem EDI para EM e Porto. Conseguimos enviar Booking Confirmation."/>
        <s v="Conseguimos enviar Booking Confirmation (completo)"/>
        <s v="Informação apenas via Inttra (sem envio de email)"/>
        <m/>
        <s v="Sem EDI para EM e Porto. Conseguimos enviar Booking Confirmation._x000a_"/>
        <s v="Conseguimos enviar BRA"/>
        <s v="Para garantia da não liberação, setar booking como 'empty release not required'_x000a_Conseguimos enviar BRA"/>
        <s v="Selecionar Empty Pick Up release + Send Coparn Conseguimos enviar BRA"/>
        <s v="Sem EDI para EM e Porto. Conseguimos enviar Booking Confirmation._x000a_Para garantia da não liberação, setar booking como 'empty release not required'_x000a_Conseguimos enviar BRA"/>
        <s v="Ajustar liberação de vazio" u="1"/>
      </sharedItems>
    </cacheField>
    <cacheField name="Comunicação com cliente" numFmtId="0">
      <sharedItems containsBlank="1" count="2">
        <m/>
        <s v="Globe"/>
      </sharedItems>
    </cacheField>
    <cacheField name="Ação do Booking Expert" numFmtId="0">
      <sharedItems containsBlank="1" count="8">
        <s v="Submeter a aprovação ao PM"/>
        <m/>
        <s v="Booking Expert processará alteração em sistema, buscando novo TP e agreement e/ou produto."/>
        <s v="Enfatizar ao cliente a necessidade de detalhar a alteração no campo Customer Comments do Inttra."/>
        <s v="Marcar o checkbox &quot;Empty release not required&quot; em Equipment tab. Verificar aprovação do consignee na planilha de restrições de PM."/>
        <s v="Booking Expert incluirá valor na aba VAS"/>
        <s v="Verificar aprovação do BP no Globe."/>
        <s v="Verificar aprovação do consignee na planilha de restrições de PM." u="1"/>
      </sharedItems>
    </cacheField>
    <cacheField name="Remarks Globe (Revisão Gerência)" numFmtId="0">
      <sharedItems count="55">
        <s v="Seu pedido de amendment foi recebido, mas em virtude do porto de descarga ser Nova Iorque precisa de aprovacao. Retornaremos via Inttra, assim que possivel."/>
        <s v="Seu pedido de reserva precisa de aprovacao devido a restricao de espaco no  navio de conexao. Retornaremos via Inttra, assim que possivel."/>
        <s v="Seu pedido de reserva nao pode ser aceito em virtude da restricao de espaco no navio solicitado, bem como nos navios das proximas 8 semanas."/>
        <s v="O navio XXXX nao dispoe de alocacao suficiente ou disponivel. Sua reserva foi confirmada no primeiro navio com espaco disponivel"/>
        <s v="Sua solicitacao de reserva foi cancelada em virtude de restricao de espaco no navio XXXX, bem como nas saidas das proximas 2 semanas."/>
        <s v="Sua solicitacao de reserva foi cancelada por restricao de espaco no navio solicitado e nos proximos.  Atencao, pois neste caso, a notificacao de cancelamento sera enviada somente via Inttra"/>
        <s v="Atendemos parcialmente a sua solicitacao de reserva. A quantidade de containers foi reduzida por restricao de espaco. Para reservar o excedente favor enviar uma nova solicitacao."/>
        <s v="Seu pedido de reserva precisa de aprovacao uma vez que seu espaco pre-definido ja foi utilizado. Retornaremos via Inttra assim que possivel"/>
        <s v="Seu pedido de reserva nao pode ser aceito no navio XXXX, pois excede o espaco pre-definido e nao ha espaco excedente disponivel. A reserva foi confirmada no primeiro navio disponivel."/>
        <s v="Seu pedido de substituicao precisa ser aprovado, pois envolve portos de embarque distintos. Retornaremos via Inttra assim que possivel."/>
        <s v="Seu pedido de substituicao nao pode ser aceito devido a restricao de espaco no navio. A reserva permanecera inalterada."/>
        <s v="Gentileza informar o terminal desejado em Alexandria: El Dekheila ou Old Port. Daremos andamento a sua reserva apos seu retorno."/>
        <s v="Porto de descarga foi alterado conforme solicitado. Possiveis custos adicionais serao de responsabilidade do exportador. Em caso de entrega ou agendamento ja realizado, gentileza ajustar esta informacao junto ao Terminal portuario."/>
        <s v="A reserva nao pode ser alterada, pois nao foi possivel identificar as alteracoes solicitadas em seu amendment. Favor especifica-las no campo Customer Comments via sistema Inttra."/>
        <s v="O navio XXXX nao contempla a rota desejada. A reserva foi confirmada no primeiro navio correto disponivel."/>
        <s v="Esta e a segunda transferencia sem retirada de equipamento, por este motivo a reserva foi cancelada. Favor solicitar nova reserva quando a carga estiver pronta."/>
        <s v="Reserva cancelada conforme solicitacao recebida via Inttra."/>
        <s v="Com base no nosso guia interno reefer o limao deve ser transportado com desumidificacao desligada (OFF). Sua reserva foi confirmada dessa forma. Se por algum motivo particular a desumidificacao deva estar ligada (ON), favor reverter com o percentual/cbm."/>
        <s v="Em sua negociacao temos duas modalidades de transporte disponiveis: truck e rail. Sua solicitacao de reserva menciona TRUCK. Caso a modalidade esteja incorreta, gentileza informar com urgencia."/>
        <s v="Sua solicitacao de reserva foi processada com a modalidade de transporte RAIL. Caso a modalidade esteja incorreta, gentileza informar com urgencia."/>
        <s v="Recebemos sua solicitacao para modalidade de pagamento Elsewhere. Contudo, nao identificamos autorizacao previa para este tipo de pagamento. Gentileza entrar em contato com nossa equipe de vendas."/>
        <s v="Gentileza desconsiderar a modalidade de pagamento informada nesta reserva. Esta informacao e definida somente no momento da emissao do Bill of Lading (Draft / SI)"/>
        <s v="Gentileza enviar via Inttra os dados do consignatario em Luanda para aprovacao do embarque e posterior liberacao de vazios. Alem disso, e obrigatorio o envio de CNCA para o email CUSTOMERCARE-BR@alianca.com.br em ate cinco dias apos o embarque."/>
        <s v="Por tratar-se de equipamento proprio (SOC) e necessario o envio de uma carta garantia (LOI) assinada, com o numero do container, para o email CUSTOMERCARE-BR@alianca.com.br em ate tres dias uteis antes do deadline de draft"/>
        <s v="Por tratar-se de equipamento proprio (SOC) e necessario o envio do numero do container, para o email CUSTOMERCARE-BR@alianca.com.br em ate tres dias uteis antes do deadline de draft"/>
        <s v="Seu pedido de container padrao alimento foi inserido na reserva. O valor de USD60 por container sera manifestado no Bill of Lading na modalidade Prepaid."/>
        <s v="Por tratar-se de equipamento proprio (SOC) e necessario o envio do certificado do Tank, com o numero da unidade, para o email CUSTOMERCARE-BR@alianca.com.br em ate tres dias uteis antes do deadline de draft"/>
        <s v="Por tratar-se de equipamento proprio (SOC) e necessario o envio do certificado do Tank e carta garantia (LOI) assinada, com o numero da unidade, para o email CUSTOMERCARE-BR@alianca.com.br em ate tres dias uteis antes do deadline de draft"/>
        <s v="Nao foi possivel processar sua solicitacao pois nao existe negociacao valida para esta rota, data de embarque e/ou equipamento. Gentileza revisar o numero da negociacao e/ou entrar em contato com nossa equipe de vendas."/>
        <s v="A negociacao XXXX informada em sua solicitacao de reserva nao e valida para esta rota, data de embarque e/ou equipamento. Por este motivo utilizamos a negociacao YYYY."/>
        <s v="Para prosseguirmos com a aprovacao de sua reserva gentileza nos enviar DCA, Certificado de homologacao e ficha de emergencia (se ISOTANK enviar tank test certificate) ate tres dias uteis antes do deadline de draft para ITJ-CSIMOCARGO-EXP@alianca.com.br."/>
        <s v="Para prosseguirmos com a aprovacao de sua reserva gentileza nos enviar DCA, Certificado de homologacao e ficha de emergencia (se ISOTANK enviar tank test certificate) ate tres dias uteis antes do deadline de draft para SSZ-CSIMOCARGO-EXP@alianca.com.br."/>
        <s v="Para prosseguirmos com a aprovacao gentileza enviar documentos listados no corpo da mensagem para ITJ-CSIMOCARGO-EXP@alianca.com.br. O vazio sera liberado, porem qualquer custo  em caso de falta de aprovacao sera de responsabilidade do exportador."/>
        <s v="Para prosseguirmos com a aprovacao gentileza enviar documentos listados no corpo da mensagem para SSZ-CSIMOCARGO-EXP@alianca.com.br. O vazio sera liberado, porem qualquer custo  em caso de falta de aprovacao sera de responsabilidade do exportador."/>
        <s v="Para prosseguirmos com a aprovacao favor informar: origem da carga,se mineral,demais origens,steam activated e MSDS para ITJ-CSIMOCARGO-EXP@alianca.com.br. O vazio sera liberado, porem qualquer custo devido falta de aprovacao sera por conta do exportador."/>
        <s v="Para prosseguirmos com a aprovacao favor informar: origem da carga,se mineral,demais origens,steam activated e MSDS para SSZ-CSIMOCARGO-EXP@alianca.com.br. O vazio sera liberado, porem qualquer custo devido falta de aprovacao sera por conta do exportador."/>
        <s v="Seu pedido de reserva precisa de aprovacao em virtude do tipo de carga (com excesso). Retornaremos via Inttra, assim que possivel."/>
        <s v="Seu pedido de reserva foi aceito. No entanto, pedimos a gentileza de nos enviar o certificado de peacao para o e-mail CUSTOMERCARE-BR@alianca.com.br, a fim de evitar possivel recusa por eventual falta de peacao."/>
        <s v="Seu pedido de reserva precisa de aprovacao em virtude do tipo de carga (pharma). Gentileza enviar o pharma checklist para o e-mail CUSTOMERCARE-BR@alianca.com.br. O equipamento vazio so podera ser liberado apos aprovacao."/>
        <s v="Seu pedido de reserva precisa de aprovacao pois envolve Flexitank. Gentileza enviar o numero do CAS (MSDS) e o nome do Supplier para o e-mail CUSTOMERCARE-BR@alianca.com.br."/>
        <s v="Recebemos o Draft do Bill of Lading e identificamos que o peso informado esta acima do limite permitido. Sendo assim, uma taxa de overweight sera manifestada no Bill of Lading com a mesma modalidade de pagamento do frete."/>
        <s v="Seu pedido de reserva precisa de aprovacao em virtude do tipo de carga (Scrap). Gentileza enviar fotos do material estufado, bem como declaracao de embarque devidamente assinada para o e-mail CUSTOMERCARE-BR@alianca.com.br."/>
        <s v="Seu pedido de reserva foi aceito. No entanto nao e possivel assegurar o embarque underdeck ou com special stowage."/>
        <s v="Seu pedido de reserva precisa de aprovacao em virtude do tipo de carga (wet blue). Retornaremos via Inttra, assim que possivel."/>
        <s v="Gentileza enviar dados do consignatario final na Venezuela, incluindo o Tax ID e Commercial Register, para aprovacao do embarque e posterior liberacao de vazios."/>
        <s v="Seu pedido de reserva foi recebido, porem cancelado devido a restricoes comerciais relacionadas ao consignatario da carga. "/>
        <s v="Seu pedido de reserva fora recebido, porem cancelado pois sistema esta apto a confirmar reservas com ate 8 semanas de antecedencia, a contar da semana da solicitacao."/>
        <s v="Devido a restricao de espaco em navio de conexao, sua reserva fora confirmada em primeiro navio disponivel."/>
        <s v="Sua solicitacao fora processada, porem e necessario que nos confirmem as dimensoes totais da carga com excesso para que possamos submeter a reserva a aprovacao."/>
        <s v="Sua solicitacao fora processada, porem por tratar-se de equipamento especial e necessario consulta ao estoque. Retorno sera atraves do sistema Inttra, assim que obtivermos tal confirmacao."/>
        <s v="Ajuste de quantidade de seu Instant Booking concluido. Por tratar-se de ajuste anterior a 7 dias da atracacao, havera cobranca de XXXX/ unidade, conforme termos desta modalidade de reserva. Cobranca sera enviada por nosso setor financeiro."/>
        <s v="Ajuste de quantidade de seu Instant Booking concluido. Por tratar-se de ajuste a menos de 7 dias da atracacao, havera cobranca de 'no show'  XXXX/ unidade pelo, conforme termos desta modalidade de reserva. Cobranca sera enviada por nosso setor financeiro."/>
        <s v="Booking Instant cancelado, conforme solicitado. Por tratar-se de ajuste anterior a 7 dias da atracacao, havera cobranca de XXXX/ unidade, conforme termos desta modalidade de reserva. Cobranca sera enviada por nosso setor financeiro."/>
        <s v="Booking Instant cancelado, conforme solicitado. Por tratar-se de ajuste a menos de 7 dias da atracacao, havera cobranca de 'no show'  XXXX/ unidade pelo, conforme termos desta modalidade de reserva. Cobranca sera enviada por nosso setor financeiro."/>
        <s v="Seu pedido de reserva foi submetido para aprovacao uma vez que estamos com restricao de espaco no navio solicitado. Retornaremos via Inttra assim que possivel."/>
      </sharedItems>
    </cacheField>
    <cacheField name="Remarks Email (Revisão Gerência)" numFmtId="0">
      <sharedItems count="56" longText="1">
        <s v="Seu pedido de amendment foi recebido, mas em virtude do porto de descarga ser Nova Iorque precisa de aprovação. Retornaremos via Inttra, assim que possível."/>
        <s v="Sua reserva precisa de aprovação devido a restrição de espaço no  navio de conexão. Retornaremos via Inttra, assim que possível."/>
        <s v="Seu pedido de reserva não pode ser aceito em virtude da restrição de espaço no navio solicitado, bem como nos navios das próximas 8 semanas."/>
        <s v="O navio XXXX nao dispoe de alocação suficiente ou disponivel. Sua reserva foi confirmada no primeiro navio com espaco disponivel"/>
        <s v="Sua solicitação de reserva foi cancelada em virtude de restrição de espaço no navio XXXX, bem como nas saidas das próximas 2 semanas."/>
        <s v="Sua solicitação de reserva foi cancelada por restrição de espaço no navio solicitado e nos próximos.  Atenção, pois neste caso, a notificação de cancelamento será enviada somente via Inttra"/>
        <s v="Atendemos parcialmente a sua solicitação de reserva. A quantidade de containers foi reduzida por restrição de espaço. Para reservar o excedente favor enviar uma nova solicitação."/>
        <s v="Sua reserva precisa de aprovação uma vez que seu espaço pré-definido já foi utilizado. Retornaremos via Inttra assim que possível"/>
        <s v="Seu pedido de reserva não pode ser aceito no navio XXXX, pois excede o espaço pré-definido e não há espaço excedente disponível. A reserva foi confirmada no primeiro navio disponível."/>
        <s v="Seu pedido de substituição precisa ser aprovado, pois envolve portos de embarque distintos. Retornaremos via Inttra assim que possível."/>
        <s v="Seu pedido de substituição não pode ser aceito devido a restrição de espaço no navio. A reserva permanecerá inalterada."/>
        <s v="Gentileza informar o terminal desejado em Alexandria: El Dekheila ou Old Port. Daremos andamento a sua reserva após seu retorno."/>
        <s v="Porto de descarga foi alterado conforme solicitado. Possíveis custos adicionais serão de responsabilidade do exportador. Em caso de entrega ou agendamento já realizado, gentileza ajustar esta informação junto ao Terminal portuário."/>
        <s v="A reserva não pode ser alterada, pois não foi possível identificar as alterações solicitadas em seu amendment. Favor especificá-las no campo Customer Comments via sistema Inttra."/>
        <s v="O navio XXXX não contempla a rota desejada. A reserva foi confirmada no primeiro navio correto disponível."/>
        <s v="Esta e a segunda transferência sem retirada de equipamento, por este motivo a reserva foi cancelada. Favor solicitar nova reserva quando a carga estiver pronta."/>
        <s v="Reserva cancelada conforme solicitação recebida via Inttra"/>
        <s v="Com base no nosso guia interno reefer o limão deve ser transportado com desumidificação desligada (OFF). Sua reserva foi confirmada dessa forma. Se por algum motivo particular a desumidificação deva estar ligada (ON), favor reverter com o percentual/cbm."/>
        <s v="Em sua negociação temos duas modalidades de transporte disponíveis: truck e rail. Sua solicitaçãoo de reserva menciona TRUCK. Caso a modalidade esteja incorreta, gentileza informar com urgência."/>
        <s v="Sua solicitação de reserva foi processada com a modalidade de transporte RAIL. Caso a modalidade esteja incorreta, gentileza informar com urgência."/>
        <s v="Recebemos sua solicitação para modalidade de pagamento Elsewhere. Contudo, não identificamos autorização prévia para este tipo de pagamento. Gentileza entrar em contato com nossa equipe de vendas."/>
        <s v="Gentileza desconsiderar a modalidade de pagamento informada nesta reserva. Esta informação é definida somente no momento da emissão do Bill of Lading (Draft / SI)"/>
        <s v="Gentileza enviar via Inttra os dados do consignatário em Luanda para aprovação do embarque e posterior liberação de vazios. Além disso, é obrigatório o envio de CNCA para o email CUSTOMERCARE-BR@alianca.com.br em ate cinco dias após o embarque."/>
        <s v="Por tratar-se de equipamento próprio (SOC) e necessário o envio de uma carta garantia (LOI) assinada, com o número do container, para o email CUSTOMERCARE-BR@alianca.com.br em até três dias úteis antes do deadline de draft."/>
        <s v="Por tratar-se de equipamento próprio (SOC) e necessário o envio do número do container, para o e-mail CUSTOMERCARE-BR@alianca.com.br em até três dias úteis antes do deadline de draft"/>
        <s v="Seu pedido de container padrão alimento foi inserido na reserva. O valor de USD60 por container será manifestado no Bill of Lading na modalidade Prepaid."/>
        <s v="Por tratar-se de equipamento próprio (SOC) e necessário o envio do certificado do Tank, com o número da unidade, para o email CUSTOMERCARE-BR@alianca.com.br em até três dias úteis antes do deadline de draft."/>
        <s v="Por tratar-se de equipamento próprio (SOC) e necessário o envio do certificado do Tank e carta garantia (LOI) assinada, com o número da unidade, para o email CUSTOMERCARE-BR@alianca.com.br em até três dias úteis antes do deadline de draft"/>
        <s v="Não foi possível processar sua solicitação pois não existe negociação válida para esta rota, data de embarque e/ou equipamento. Gentileza revisar o número da negociação e/ou entrar em contato com nossa equipe de vendas."/>
        <s v="A negociação XXXX informada em sua solicitacao de reserva não é válida para esta rota, data de embarque e/ou equipamento. Por este motivo utilizamos a negociação YYYY."/>
        <s v="Para prosseguirmos com a aprovação de sua reserva gentileza nos enviar DCA, Certificado de homologação e ficha de emergência (se ISOTANK enviar tank test certificate) até três dias úteis antes do deadline de draft para ITJ-CSIMOCARGO-EXP@alianca.com.br. Inserir número do booking, navio/voy e porto de embarque no assunto."/>
        <s v="Para prosseguirmos com a aprovação de sua reserva gentileza nos enviar DCA, Certificado de homologação e ficha de emergência (se ISOTANK enviar tank test certificate) até três dias úteis antes do deadline de draft para SSZ-CSIMOCARGO-EXP@alianca.com.br. Inserir número do booking, navio/voy e porto de embarque no assunto."/>
        <s v="Para prosseguirmos com a aprovação de sua reserva gentileza nos enviar DCA, Certificado de homologação e ficha de emergência (se ISOTANK enviar tank test certificate) até três dias úteis antes do deadline de draft para ITJ-CSIMOCARGO-EXP@alianca.com.br. O vazio será liberado, porém qualquer custo em caso de falta de aprovação será de responsabilidade do exportador."/>
        <s v="Para prosseguirmos com a aprovação de sua reserva gentileza nos enviar DCA, Certificado de homologação e ficha de emergência (se ISOTANK enviar tank test certificate) até três dias úteis antes do deadline de draft para SSZ-CSIMOCARGO-EXP@alianca.com.br. O vazio será liberado, porém qualquer custo em caso de falta de aprovação será de responsabilidade do exportador."/>
        <s v="Para prosseguirmos com a aprovação de sua reserva gentileza nos informar: origem da carga, se mineral, demais origens, steam activated e MSDS para o e-mail ITJ-CSIMOCARGO-EXP@alianca.com.br. O vazio será liberado, porém qualquer custo em caso de falta de aprovação será de responsabilidade do exportador."/>
        <s v="Para prosseguirmos com a aprovação de sua reserva gentileza nos informar: origem da carga, se mineral, demais origens, steam activated e MSDS para o e-mail SSZ-CSIMOCARGO-EXP@alianca.com.br. O vazio será liberado, porém qualquer custo em caso de falta de aprovação será de responsabilidade do exportador."/>
        <s v="Seu pedido de reserva precisa de aprovação em virtude do tipo de carga (com excesso). Retornaremos via Inttra, assim que possível."/>
        <s v="Seu pedido de reserva foi aceito. No entanto, pedimos a gentileza de nos enviar o certificado de peação para o e-mail CUSTOMERCARE-BR@alianca.com.br, a fim de evitar possível recusa por eventual falta de peação."/>
        <s v="Seu pedido de reserva precisa de aprovação em virtude do tipo de carga (pharma). Gentileza enviar o pharma checklist para o e-mail CUSTOMERCARE-BR@alianca.com.br. O equipamento vazio só poderá ser liberado apos aprovação."/>
        <s v="Seu pedido de reserva precisa de aprovação pois envolve Flexitank. Gentileza enviar o número do CAS (MSDS) e o nome do Supplier para o e-mail CUSTOMERCARE-BR@alianca.com.br."/>
        <s v="Recebemos o Draft do Bill of Lading e identificamos que o peso informado esta acima do limite permitido. Sendo assim, uma taxa de overweight sera manifestada no Bill of Lading com a mesma modalidade de pagamento do frete."/>
        <s v="Seu pedido de reserva precisa de aprovação em virtude do tipo de carga (Scrap). Gentileza enviar fotos do material estufado, bem como declaração de embarque devidamente assinada para o e-mail CUSTOMERCARE-BR@alianca.com.br."/>
        <s v="Seu pedido de reserva foi aceito. No entanto não é possível assegurar o embarque underdeck ou com special stowage."/>
        <s v="Seu pedido de reserva precisa de aprovação em virtude do tipo de carga (wet blue). Retornaremos via Inttra, assim que possível."/>
        <s v="Gentileza enviar dados do consignatário final na Venezuela, incluindo o Tax ID e Commercial Register, para aprovação do embarque e posterior liberação de vazios."/>
        <s v="Seu pedido de reserva foi recebido, porém cancelado devido a restrições comerciais relacionadas ao consignatário da carga. "/>
        <s v="Seu pedido de reserva fora recebido, porém cancelado pois sistema está apto a confirmar reservas com até 8 semanas de antecedência, a contar da semana da solicitação."/>
        <s v="Devido a restrição de espaço em navio de conexão, sua reserva fora confirmada em primeiro navio disponível."/>
        <s v="Sua solicitação fora processada, porém é necessário que nos confirmem as dimensões totais da carga com excesso para que possamos submeter a reserva a aprovação."/>
        <s v="Sua solicitação fora processada, porém por tratar-se de equipamento especial é necessário consulta ao estoque. Retorno será através do sistema Inttra, assim que obtivermos tal confirmação."/>
        <s v="Ajuste de quantidade de seu Instant Booking concluido, conforme solicitado. Por tratar-se de ajuste anterior à 7 dias da atracação, haverá cobrança de XXXX/ unidade, conforme termos desta modalidade de reserva._x000a_Cobrança será enviada por nosso setor financeiro."/>
        <s v="Ajuste de quantidade de seu Instant Booking concluido, conforme solicitado. Por tratar-se de ajuste a menos de 7 dias da atracação, haverá cobrança de 'no show'  XXXX/ unidade pelo, conforme termos desta modalidade de reserva. Cobrança será enviada por nosso setor financeiro."/>
        <s v="Booking Instant cancelado, conforme solicitado. Por tratar-se de ajuste anterior à 7 dias da atracação, haverá cobrança de XXXX/ unidade, conforme termos desta modalidade de reserva. Cobrança será enviada por nosso setor financeiro."/>
        <s v="Booking Instant cancelado, conforme solicitado. Por tratar-se de ajuste a menos de 7 dias da atracação, haverá cobrança de 'no show'  XXXX/ unidade pelo, conforme termos desta modalidade de reserva. Cobrança será enviada por nosso setor financeiro."/>
        <s v="Seu pedido de reserva foi submetido para aprovação uma vez que estamos com restrição de espaço no navio solicitado.  Retornaremos via Inttra assim que possível."/>
        <s v="Esta e a segunda transferêcia sem retirada de equipamento, por este motivo a reserva foi cancelada. Favor solicitar nova reserva quando a carga estiver pronta." u="1"/>
      </sharedItems>
    </cacheField>
    <cacheField name="Seq." numFmtId="0">
      <sharedItems containsSemiMixedTypes="0" containsString="0" containsNumber="1" containsInteger="1" minValue="1" maxValue="55"/>
    </cacheField>
    <cacheField name="Cont." numFmtId="0">
      <sharedItems containsSemiMixedTypes="0" containsString="0" containsNumber="1" containsInteger="1" minValue="59" maxValue="255"/>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55">
  <r>
    <x v="0"/>
    <x v="0"/>
    <x v="0"/>
    <x v="0"/>
    <x v="0"/>
    <x v="0"/>
    <x v="0"/>
    <x v="0"/>
    <x v="0"/>
    <x v="0"/>
    <n v="1"/>
    <n v="156"/>
  </r>
  <r>
    <x v="0"/>
    <x v="0"/>
    <x v="0"/>
    <x v="1"/>
    <x v="0"/>
    <x v="0"/>
    <x v="0"/>
    <x v="1"/>
    <x v="1"/>
    <x v="1"/>
    <n v="2"/>
    <n v="138"/>
  </r>
  <r>
    <x v="1"/>
    <x v="0"/>
    <x v="1"/>
    <x v="2"/>
    <x v="1"/>
    <x v="1"/>
    <x v="0"/>
    <x v="1"/>
    <x v="2"/>
    <x v="2"/>
    <n v="3"/>
    <n v="140"/>
  </r>
  <r>
    <x v="1"/>
    <x v="0"/>
    <x v="0"/>
    <x v="3"/>
    <x v="2"/>
    <x v="1"/>
    <x v="0"/>
    <x v="1"/>
    <x v="3"/>
    <x v="3"/>
    <n v="4"/>
    <n v="128"/>
  </r>
  <r>
    <x v="1"/>
    <x v="0"/>
    <x v="1"/>
    <x v="4"/>
    <x v="1"/>
    <x v="1"/>
    <x v="0"/>
    <x v="1"/>
    <x v="4"/>
    <x v="4"/>
    <n v="5"/>
    <n v="133"/>
  </r>
  <r>
    <x v="2"/>
    <x v="0"/>
    <x v="1"/>
    <x v="5"/>
    <x v="3"/>
    <x v="2"/>
    <x v="0"/>
    <x v="1"/>
    <x v="5"/>
    <x v="5"/>
    <n v="6"/>
    <n v="189"/>
  </r>
  <r>
    <x v="2"/>
    <x v="0"/>
    <x v="0"/>
    <x v="6"/>
    <x v="2"/>
    <x v="1"/>
    <x v="0"/>
    <x v="1"/>
    <x v="6"/>
    <x v="6"/>
    <n v="7"/>
    <n v="178"/>
  </r>
  <r>
    <x v="0"/>
    <x v="0"/>
    <x v="0"/>
    <x v="7"/>
    <x v="0"/>
    <x v="0"/>
    <x v="0"/>
    <x v="1"/>
    <x v="7"/>
    <x v="7"/>
    <n v="8"/>
    <n v="139"/>
  </r>
  <r>
    <x v="2"/>
    <x v="0"/>
    <x v="0"/>
    <x v="7"/>
    <x v="2"/>
    <x v="1"/>
    <x v="0"/>
    <x v="1"/>
    <x v="8"/>
    <x v="8"/>
    <n v="9"/>
    <n v="183"/>
  </r>
  <r>
    <x v="0"/>
    <x v="0"/>
    <x v="0"/>
    <x v="8"/>
    <x v="2"/>
    <x v="1"/>
    <x v="0"/>
    <x v="1"/>
    <x v="9"/>
    <x v="9"/>
    <n v="10"/>
    <n v="135"/>
  </r>
  <r>
    <x v="2"/>
    <x v="0"/>
    <x v="0"/>
    <x v="9"/>
    <x v="2"/>
    <x v="1"/>
    <x v="0"/>
    <x v="1"/>
    <x v="10"/>
    <x v="10"/>
    <n v="11"/>
    <n v="119"/>
  </r>
  <r>
    <x v="1"/>
    <x v="1"/>
    <x v="1"/>
    <x v="10"/>
    <x v="0"/>
    <x v="3"/>
    <x v="0"/>
    <x v="1"/>
    <x v="11"/>
    <x v="11"/>
    <n v="12"/>
    <n v="128"/>
  </r>
  <r>
    <x v="1"/>
    <x v="1"/>
    <x v="2"/>
    <x v="11"/>
    <x v="2"/>
    <x v="1"/>
    <x v="0"/>
    <x v="2"/>
    <x v="12"/>
    <x v="12"/>
    <n v="13"/>
    <n v="231"/>
  </r>
  <r>
    <x v="1"/>
    <x v="1"/>
    <x v="2"/>
    <x v="12"/>
    <x v="2"/>
    <x v="1"/>
    <x v="0"/>
    <x v="3"/>
    <x v="13"/>
    <x v="13"/>
    <n v="14"/>
    <n v="178"/>
  </r>
  <r>
    <x v="1"/>
    <x v="1"/>
    <x v="0"/>
    <x v="13"/>
    <x v="2"/>
    <x v="1"/>
    <x v="0"/>
    <x v="1"/>
    <x v="14"/>
    <x v="14"/>
    <n v="15"/>
    <n v="106"/>
  </r>
  <r>
    <x v="1"/>
    <x v="1"/>
    <x v="2"/>
    <x v="14"/>
    <x v="1"/>
    <x v="1"/>
    <x v="0"/>
    <x v="1"/>
    <x v="15"/>
    <x v="15"/>
    <n v="16"/>
    <n v="160"/>
  </r>
  <r>
    <x v="1"/>
    <x v="1"/>
    <x v="2"/>
    <x v="15"/>
    <x v="1"/>
    <x v="1"/>
    <x v="0"/>
    <x v="1"/>
    <x v="16"/>
    <x v="16"/>
    <n v="17"/>
    <n v="59"/>
  </r>
  <r>
    <x v="1"/>
    <x v="1"/>
    <x v="1"/>
    <x v="16"/>
    <x v="2"/>
    <x v="3"/>
    <x v="0"/>
    <x v="1"/>
    <x v="17"/>
    <x v="17"/>
    <n v="18"/>
    <n v="254"/>
  </r>
  <r>
    <x v="1"/>
    <x v="1"/>
    <x v="1"/>
    <x v="17"/>
    <x v="2"/>
    <x v="3"/>
    <x v="0"/>
    <x v="1"/>
    <x v="18"/>
    <x v="18"/>
    <n v="19"/>
    <n v="193"/>
  </r>
  <r>
    <x v="1"/>
    <x v="1"/>
    <x v="1"/>
    <x v="18"/>
    <x v="2"/>
    <x v="3"/>
    <x v="0"/>
    <x v="1"/>
    <x v="19"/>
    <x v="19"/>
    <n v="20"/>
    <n v="147"/>
  </r>
  <r>
    <x v="1"/>
    <x v="1"/>
    <x v="1"/>
    <x v="19"/>
    <x v="2"/>
    <x v="3"/>
    <x v="0"/>
    <x v="1"/>
    <x v="20"/>
    <x v="20"/>
    <n v="21"/>
    <n v="196"/>
  </r>
  <r>
    <x v="1"/>
    <x v="1"/>
    <x v="1"/>
    <x v="20"/>
    <x v="2"/>
    <x v="3"/>
    <x v="0"/>
    <x v="1"/>
    <x v="21"/>
    <x v="21"/>
    <n v="22"/>
    <n v="162"/>
  </r>
  <r>
    <x v="0"/>
    <x v="2"/>
    <x v="1"/>
    <x v="21"/>
    <x v="4"/>
    <x v="4"/>
    <x v="0"/>
    <x v="4"/>
    <x v="22"/>
    <x v="22"/>
    <n v="23"/>
    <n v="244"/>
  </r>
  <r>
    <x v="1"/>
    <x v="3"/>
    <x v="1"/>
    <x v="22"/>
    <x v="0"/>
    <x v="3"/>
    <x v="0"/>
    <x v="1"/>
    <x v="23"/>
    <x v="23"/>
    <n v="24"/>
    <n v="222"/>
  </r>
  <r>
    <x v="1"/>
    <x v="3"/>
    <x v="1"/>
    <x v="23"/>
    <x v="2"/>
    <x v="3"/>
    <x v="0"/>
    <x v="1"/>
    <x v="24"/>
    <x v="24"/>
    <n v="25"/>
    <n v="181"/>
  </r>
  <r>
    <x v="1"/>
    <x v="3"/>
    <x v="1"/>
    <x v="24"/>
    <x v="2"/>
    <x v="1"/>
    <x v="0"/>
    <x v="5"/>
    <x v="25"/>
    <x v="25"/>
    <n v="26"/>
    <n v="153"/>
  </r>
  <r>
    <x v="1"/>
    <x v="3"/>
    <x v="1"/>
    <x v="25"/>
    <x v="2"/>
    <x v="1"/>
    <x v="0"/>
    <x v="1"/>
    <x v="26"/>
    <x v="26"/>
    <n v="27"/>
    <n v="206"/>
  </r>
  <r>
    <x v="1"/>
    <x v="3"/>
    <x v="1"/>
    <x v="26"/>
    <x v="0"/>
    <x v="5"/>
    <x v="0"/>
    <x v="1"/>
    <x v="27"/>
    <x v="27"/>
    <n v="28"/>
    <n v="238"/>
  </r>
  <r>
    <x v="1"/>
    <x v="4"/>
    <x v="2"/>
    <x v="27"/>
    <x v="2"/>
    <x v="1"/>
    <x v="1"/>
    <x v="1"/>
    <x v="28"/>
    <x v="28"/>
    <n v="29"/>
    <n v="219"/>
  </r>
  <r>
    <x v="1"/>
    <x v="4"/>
    <x v="0"/>
    <x v="28"/>
    <x v="2"/>
    <x v="1"/>
    <x v="1"/>
    <x v="1"/>
    <x v="29"/>
    <x v="29"/>
    <n v="30"/>
    <n v="167"/>
  </r>
  <r>
    <x v="0"/>
    <x v="5"/>
    <x v="1"/>
    <x v="29"/>
    <x v="5"/>
    <x v="6"/>
    <x v="0"/>
    <x v="1"/>
    <x v="30"/>
    <x v="30"/>
    <n v="31"/>
    <n v="253"/>
  </r>
  <r>
    <x v="0"/>
    <x v="5"/>
    <x v="1"/>
    <x v="30"/>
    <x v="5"/>
    <x v="6"/>
    <x v="0"/>
    <x v="1"/>
    <x v="31"/>
    <x v="31"/>
    <n v="32"/>
    <n v="253"/>
  </r>
  <r>
    <x v="0"/>
    <x v="5"/>
    <x v="1"/>
    <x v="31"/>
    <x v="6"/>
    <x v="7"/>
    <x v="0"/>
    <x v="1"/>
    <x v="32"/>
    <x v="32"/>
    <n v="33"/>
    <n v="247"/>
  </r>
  <r>
    <x v="0"/>
    <x v="5"/>
    <x v="1"/>
    <x v="32"/>
    <x v="6"/>
    <x v="7"/>
    <x v="0"/>
    <x v="1"/>
    <x v="33"/>
    <x v="33"/>
    <n v="34"/>
    <n v="247"/>
  </r>
  <r>
    <x v="0"/>
    <x v="5"/>
    <x v="1"/>
    <x v="33"/>
    <x v="7"/>
    <x v="5"/>
    <x v="0"/>
    <x v="1"/>
    <x v="34"/>
    <x v="34"/>
    <n v="35"/>
    <n v="255"/>
  </r>
  <r>
    <x v="0"/>
    <x v="5"/>
    <x v="1"/>
    <x v="33"/>
    <x v="7"/>
    <x v="5"/>
    <x v="0"/>
    <x v="1"/>
    <x v="35"/>
    <x v="35"/>
    <n v="36"/>
    <n v="255"/>
  </r>
  <r>
    <x v="0"/>
    <x v="5"/>
    <x v="1"/>
    <x v="34"/>
    <x v="8"/>
    <x v="5"/>
    <x v="0"/>
    <x v="1"/>
    <x v="36"/>
    <x v="36"/>
    <n v="37"/>
    <n v="130"/>
  </r>
  <r>
    <x v="2"/>
    <x v="5"/>
    <x v="1"/>
    <x v="35"/>
    <x v="2"/>
    <x v="1"/>
    <x v="0"/>
    <x v="1"/>
    <x v="37"/>
    <x v="37"/>
    <n v="38"/>
    <n v="211"/>
  </r>
  <r>
    <x v="0"/>
    <x v="5"/>
    <x v="1"/>
    <x v="36"/>
    <x v="9"/>
    <x v="0"/>
    <x v="0"/>
    <x v="1"/>
    <x v="38"/>
    <x v="38"/>
    <n v="39"/>
    <n v="221"/>
  </r>
  <r>
    <x v="0"/>
    <x v="5"/>
    <x v="1"/>
    <x v="37"/>
    <x v="0"/>
    <x v="3"/>
    <x v="0"/>
    <x v="1"/>
    <x v="39"/>
    <x v="39"/>
    <n v="40"/>
    <n v="173"/>
  </r>
  <r>
    <x v="1"/>
    <x v="5"/>
    <x v="3"/>
    <x v="38"/>
    <x v="2"/>
    <x v="1"/>
    <x v="0"/>
    <x v="5"/>
    <x v="40"/>
    <x v="40"/>
    <n v="41"/>
    <n v="221"/>
  </r>
  <r>
    <x v="0"/>
    <x v="5"/>
    <x v="1"/>
    <x v="39"/>
    <x v="0"/>
    <x v="3"/>
    <x v="0"/>
    <x v="1"/>
    <x v="41"/>
    <x v="41"/>
    <n v="42"/>
    <n v="223"/>
  </r>
  <r>
    <x v="1"/>
    <x v="5"/>
    <x v="0"/>
    <x v="40"/>
    <x v="2"/>
    <x v="1"/>
    <x v="0"/>
    <x v="1"/>
    <x v="42"/>
    <x v="42"/>
    <n v="43"/>
    <n v="114"/>
  </r>
  <r>
    <x v="0"/>
    <x v="5"/>
    <x v="1"/>
    <x v="41"/>
    <x v="4"/>
    <x v="8"/>
    <x v="0"/>
    <x v="1"/>
    <x v="43"/>
    <x v="43"/>
    <n v="44"/>
    <n v="127"/>
  </r>
  <r>
    <x v="0"/>
    <x v="2"/>
    <x v="1"/>
    <x v="42"/>
    <x v="4"/>
    <x v="8"/>
    <x v="0"/>
    <x v="6"/>
    <x v="44"/>
    <x v="44"/>
    <n v="45"/>
    <n v="161"/>
  </r>
  <r>
    <x v="2"/>
    <x v="2"/>
    <x v="4"/>
    <x v="42"/>
    <x v="1"/>
    <x v="1"/>
    <x v="0"/>
    <x v="1"/>
    <x v="45"/>
    <x v="45"/>
    <n v="46"/>
    <n v="123"/>
  </r>
  <r>
    <x v="1"/>
    <x v="0"/>
    <x v="1"/>
    <x v="43"/>
    <x v="1"/>
    <x v="1"/>
    <x v="0"/>
    <x v="1"/>
    <x v="46"/>
    <x v="46"/>
    <n v="47"/>
    <n v="166"/>
  </r>
  <r>
    <x v="2"/>
    <x v="0"/>
    <x v="0"/>
    <x v="44"/>
    <x v="2"/>
    <x v="1"/>
    <x v="0"/>
    <x v="1"/>
    <x v="47"/>
    <x v="47"/>
    <n v="48"/>
    <n v="107"/>
  </r>
  <r>
    <x v="0"/>
    <x v="5"/>
    <x v="1"/>
    <x v="45"/>
    <x v="0"/>
    <x v="5"/>
    <x v="0"/>
    <x v="1"/>
    <x v="48"/>
    <x v="48"/>
    <n v="49"/>
    <n v="160"/>
  </r>
  <r>
    <x v="1"/>
    <x v="3"/>
    <x v="1"/>
    <x v="46"/>
    <x v="8"/>
    <x v="5"/>
    <x v="0"/>
    <x v="1"/>
    <x v="49"/>
    <x v="49"/>
    <n v="50"/>
    <n v="188"/>
  </r>
  <r>
    <x v="1"/>
    <x v="6"/>
    <x v="2"/>
    <x v="47"/>
    <x v="2"/>
    <x v="1"/>
    <x v="0"/>
    <x v="1"/>
    <x v="50"/>
    <x v="50"/>
    <n v="51"/>
    <n v="239"/>
  </r>
  <r>
    <x v="1"/>
    <x v="6"/>
    <x v="2"/>
    <x v="48"/>
    <x v="2"/>
    <x v="1"/>
    <x v="0"/>
    <x v="1"/>
    <x v="51"/>
    <x v="51"/>
    <n v="52"/>
    <n v="255"/>
  </r>
  <r>
    <x v="1"/>
    <x v="6"/>
    <x v="4"/>
    <x v="49"/>
    <x v="1"/>
    <x v="1"/>
    <x v="0"/>
    <x v="1"/>
    <x v="52"/>
    <x v="52"/>
    <n v="53"/>
    <n v="232"/>
  </r>
  <r>
    <x v="1"/>
    <x v="6"/>
    <x v="4"/>
    <x v="50"/>
    <x v="1"/>
    <x v="1"/>
    <x v="0"/>
    <x v="1"/>
    <x v="53"/>
    <x v="53"/>
    <n v="54"/>
    <n v="248"/>
  </r>
  <r>
    <x v="0"/>
    <x v="0"/>
    <x v="0"/>
    <x v="51"/>
    <x v="0"/>
    <x v="0"/>
    <x v="0"/>
    <x v="1"/>
    <x v="54"/>
    <x v="54"/>
    <n v="55"/>
    <n v="1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Booking Dinamica" cacheId="26" applyNumberFormats="0" applyBorderFormats="0" applyFontFormats="0" applyPatternFormats="0" applyAlignmentFormats="0" applyWidthHeightFormats="1" dataCaption="Valores" errorCaption=" " showError="1" missingCaption=" " updatedVersion="4" minRefreshableVersion="3" showDrill="0" showDataTips="0" rowGrandTotals="0" colGrandTotals="0" itemPrintTitles="1" createdVersion="4" indent="0" outline="1" outlineData="1" multipleFieldFilters="0" rowHeaderCaption="_x000a_Templates | Booking Expert_x000a_" customListSort="0">
  <location ref="B1:B331" firstHeaderRow="1" firstDataRow="1" firstDataCol="1"/>
  <pivotFields count="12">
    <pivotField showAll="0">
      <items count="5">
        <item x="1"/>
        <item m="1" x="3"/>
        <item x="2"/>
        <item x="0"/>
        <item t="default"/>
      </items>
    </pivotField>
    <pivotField showAll="0">
      <items count="14">
        <item x="0"/>
        <item x="1"/>
        <item x="2"/>
        <item x="3"/>
        <item x="4"/>
        <item x="5"/>
        <item x="6"/>
        <item m="1" x="9"/>
        <item m="1" x="12"/>
        <item m="1" x="8"/>
        <item m="1" x="11"/>
        <item m="1" x="10"/>
        <item m="1" x="7"/>
        <item t="default"/>
      </items>
    </pivotField>
    <pivotField showAll="0">
      <items count="8">
        <item x="2"/>
        <item x="4"/>
        <item m="1" x="5"/>
        <item m="1" x="6"/>
        <item x="1"/>
        <item x="0"/>
        <item x="3"/>
        <item t="default"/>
      </items>
    </pivotField>
    <pivotField showAll="0">
      <items count="103">
        <item x="0"/>
        <item x="1"/>
        <item x="2"/>
        <item x="44"/>
        <item x="3"/>
        <item x="4"/>
        <item x="51"/>
        <item x="43"/>
        <item x="5"/>
        <item x="6"/>
        <item x="7"/>
        <item x="9"/>
        <item x="8"/>
        <item x="10"/>
        <item x="11"/>
        <item x="12"/>
        <item x="13"/>
        <item x="14"/>
        <item x="15"/>
        <item x="16"/>
        <item x="17"/>
        <item x="18"/>
        <item x="19"/>
        <item x="20"/>
        <item x="21"/>
        <item x="42"/>
        <item x="46"/>
        <item x="22"/>
        <item x="23"/>
        <item x="24"/>
        <item x="25"/>
        <item x="26"/>
        <item x="28"/>
        <item x="27"/>
        <item m="1" x="77"/>
        <item x="29"/>
        <item x="31"/>
        <item x="30"/>
        <item m="1" x="54"/>
        <item x="32"/>
        <item m="1" x="87"/>
        <item m="1" x="67"/>
        <item x="33"/>
        <item x="34"/>
        <item x="35"/>
        <item x="45"/>
        <item x="36"/>
        <item x="37"/>
        <item x="38"/>
        <item x="39"/>
        <item x="40"/>
        <item x="41"/>
        <item x="47"/>
        <item x="49"/>
        <item x="48"/>
        <item x="50"/>
        <item m="1" x="69"/>
        <item m="1" x="97"/>
        <item m="1" x="70"/>
        <item m="1" x="58"/>
        <item m="1" x="74"/>
        <item m="1" x="53"/>
        <item m="1" x="89"/>
        <item m="1" x="64"/>
        <item m="1" x="68"/>
        <item m="1" x="84"/>
        <item m="1" x="75"/>
        <item m="1" x="52"/>
        <item m="1" x="55"/>
        <item m="1" x="63"/>
        <item m="1" x="60"/>
        <item m="1" x="83"/>
        <item m="1" x="98"/>
        <item m="1" x="82"/>
        <item m="1" x="95"/>
        <item m="1" x="85"/>
        <item m="1" x="65"/>
        <item m="1" x="79"/>
        <item m="1" x="94"/>
        <item m="1" x="88"/>
        <item m="1" x="93"/>
        <item m="1" x="92"/>
        <item m="1" x="56"/>
        <item m="1" x="71"/>
        <item m="1" x="101"/>
        <item m="1" x="91"/>
        <item m="1" x="76"/>
        <item m="1" x="100"/>
        <item m="1" x="72"/>
        <item m="1" x="59"/>
        <item m="1" x="90"/>
        <item m="1" x="81"/>
        <item m="1" x="78"/>
        <item m="1" x="80"/>
        <item m="1" x="62"/>
        <item m="1" x="66"/>
        <item m="1" x="99"/>
        <item m="1" x="86"/>
        <item m="1" x="96"/>
        <item m="1" x="57"/>
        <item m="1" x="61"/>
        <item m="1" x="73"/>
        <item t="default"/>
      </items>
    </pivotField>
    <pivotField axis="axisRow" showAll="0">
      <items count="12">
        <item x="4"/>
        <item x="7"/>
        <item x="1"/>
        <item x="2"/>
        <item m="1" x="10"/>
        <item x="0"/>
        <item x="3"/>
        <item x="8"/>
        <item x="5"/>
        <item x="6"/>
        <item x="9"/>
        <item t="default"/>
      </items>
    </pivotField>
    <pivotField axis="axisRow" showAll="0">
      <items count="11">
        <item m="1" x="9"/>
        <item x="1"/>
        <item x="5"/>
        <item x="2"/>
        <item x="6"/>
        <item x="7"/>
        <item x="0"/>
        <item x="4"/>
        <item x="8"/>
        <item x="3"/>
        <item t="default"/>
      </items>
    </pivotField>
    <pivotField axis="axisRow" compact="0" subtotalTop="0" showAll="0" defaultSubtotal="0">
      <items count="2">
        <item x="1"/>
        <item x="0"/>
      </items>
    </pivotField>
    <pivotField axis="axisRow" showAll="0">
      <items count="9">
        <item x="5"/>
        <item x="2"/>
        <item x="3"/>
        <item x="4"/>
        <item x="0"/>
        <item m="1" x="7"/>
        <item x="1"/>
        <item x="6"/>
        <item t="default"/>
      </items>
    </pivotField>
    <pivotField axis="axisRow" showAll="0" defaultSubtotal="0">
      <items count="55">
        <item x="29"/>
        <item x="13"/>
        <item x="6"/>
        <item x="17"/>
        <item x="47"/>
        <item x="18"/>
        <item x="15"/>
        <item x="21"/>
        <item x="44"/>
        <item x="22"/>
        <item x="11"/>
        <item x="28"/>
        <item x="14"/>
        <item x="3"/>
        <item x="30"/>
        <item x="31"/>
        <item x="34"/>
        <item x="35"/>
        <item x="32"/>
        <item x="33"/>
        <item x="23"/>
        <item x="27"/>
        <item x="26"/>
        <item x="24"/>
        <item x="12"/>
        <item x="40"/>
        <item x="20"/>
        <item x="16"/>
        <item x="0"/>
        <item x="25"/>
        <item x="42"/>
        <item x="37"/>
        <item x="45"/>
        <item x="46"/>
        <item x="2"/>
        <item x="8"/>
        <item x="1"/>
        <item x="36"/>
        <item x="38"/>
        <item x="41"/>
        <item x="43"/>
        <item x="39"/>
        <item x="7"/>
        <item x="10"/>
        <item x="9"/>
        <item x="4"/>
        <item x="5"/>
        <item x="19"/>
        <item x="48"/>
        <item x="49"/>
        <item x="50"/>
        <item x="51"/>
        <item x="52"/>
        <item x="53"/>
        <item x="54"/>
      </items>
    </pivotField>
    <pivotField axis="axisRow" showAll="0" defaultSubtotal="0">
      <items count="56">
        <item x="29"/>
        <item x="13"/>
        <item x="6"/>
        <item x="17"/>
        <item x="47"/>
        <item x="18"/>
        <item m="1" x="55"/>
        <item x="21"/>
        <item x="44"/>
        <item x="22"/>
        <item x="11"/>
        <item x="28"/>
        <item x="14"/>
        <item x="3"/>
        <item x="30"/>
        <item x="31"/>
        <item x="33"/>
        <item x="34"/>
        <item x="35"/>
        <item x="23"/>
        <item x="27"/>
        <item x="26"/>
        <item x="24"/>
        <item x="12"/>
        <item x="40"/>
        <item x="20"/>
        <item x="16"/>
        <item x="0"/>
        <item x="25"/>
        <item x="42"/>
        <item x="37"/>
        <item x="45"/>
        <item x="46"/>
        <item x="2"/>
        <item x="8"/>
        <item x="36"/>
        <item x="38"/>
        <item x="41"/>
        <item x="43"/>
        <item x="39"/>
        <item x="10"/>
        <item x="9"/>
        <item x="1"/>
        <item x="7"/>
        <item x="4"/>
        <item x="5"/>
        <item x="19"/>
        <item x="48"/>
        <item x="49"/>
        <item x="50"/>
        <item x="51"/>
        <item x="52"/>
        <item x="53"/>
        <item x="15"/>
        <item x="32"/>
        <item x="54"/>
      </items>
    </pivotField>
    <pivotField showAll="0" defaultSubtotal="0"/>
    <pivotField showAll="0" defaultSubtotal="0"/>
  </pivotFields>
  <rowFields count="6">
    <field x="8"/>
    <field x="9"/>
    <field x="4"/>
    <field x="5"/>
    <field x="7"/>
    <field x="6"/>
  </rowFields>
  <rowItems count="330">
    <i>
      <x/>
    </i>
    <i r="1">
      <x/>
    </i>
    <i r="2">
      <x v="3"/>
    </i>
    <i r="3">
      <x v="1"/>
    </i>
    <i r="4">
      <x v="6"/>
    </i>
    <i r="5">
      <x/>
    </i>
    <i>
      <x v="1"/>
    </i>
    <i r="1">
      <x v="1"/>
    </i>
    <i r="2">
      <x v="3"/>
    </i>
    <i r="3">
      <x v="1"/>
    </i>
    <i r="4">
      <x v="2"/>
    </i>
    <i r="5">
      <x v="1"/>
    </i>
    <i>
      <x v="2"/>
    </i>
    <i r="1">
      <x v="2"/>
    </i>
    <i r="2">
      <x v="3"/>
    </i>
    <i r="3">
      <x v="1"/>
    </i>
    <i r="4">
      <x v="6"/>
    </i>
    <i r="5">
      <x v="1"/>
    </i>
    <i>
      <x v="3"/>
    </i>
    <i r="1">
      <x v="3"/>
    </i>
    <i r="2">
      <x v="3"/>
    </i>
    <i r="3">
      <x v="9"/>
    </i>
    <i r="4">
      <x v="6"/>
    </i>
    <i r="5">
      <x v="1"/>
    </i>
    <i>
      <x v="4"/>
    </i>
    <i r="1">
      <x v="4"/>
    </i>
    <i r="2">
      <x v="3"/>
    </i>
    <i r="3">
      <x v="1"/>
    </i>
    <i r="4">
      <x v="6"/>
    </i>
    <i r="5">
      <x v="1"/>
    </i>
    <i>
      <x v="5"/>
    </i>
    <i r="1">
      <x v="5"/>
    </i>
    <i r="2">
      <x v="3"/>
    </i>
    <i r="3">
      <x v="9"/>
    </i>
    <i r="4">
      <x v="6"/>
    </i>
    <i r="5">
      <x v="1"/>
    </i>
    <i>
      <x v="6"/>
    </i>
    <i r="1">
      <x v="53"/>
    </i>
    <i r="2">
      <x v="2"/>
    </i>
    <i r="3">
      <x v="1"/>
    </i>
    <i r="4">
      <x v="6"/>
    </i>
    <i r="5">
      <x v="1"/>
    </i>
    <i>
      <x v="7"/>
    </i>
    <i r="1">
      <x v="7"/>
    </i>
    <i r="2">
      <x v="3"/>
    </i>
    <i r="3">
      <x v="9"/>
    </i>
    <i r="4">
      <x v="6"/>
    </i>
    <i r="5">
      <x v="1"/>
    </i>
    <i>
      <x v="8"/>
    </i>
    <i r="1">
      <x v="8"/>
    </i>
    <i r="2">
      <x/>
    </i>
    <i r="3">
      <x v="8"/>
    </i>
    <i r="4">
      <x v="7"/>
    </i>
    <i r="5">
      <x v="1"/>
    </i>
    <i>
      <x v="9"/>
    </i>
    <i r="1">
      <x v="9"/>
    </i>
    <i r="2">
      <x/>
    </i>
    <i r="3">
      <x v="7"/>
    </i>
    <i r="4">
      <x v="3"/>
    </i>
    <i r="5">
      <x v="1"/>
    </i>
    <i>
      <x v="10"/>
    </i>
    <i r="1">
      <x v="10"/>
    </i>
    <i r="2">
      <x v="5"/>
    </i>
    <i r="3">
      <x v="9"/>
    </i>
    <i r="4">
      <x v="6"/>
    </i>
    <i r="5">
      <x v="1"/>
    </i>
    <i>
      <x v="11"/>
    </i>
    <i r="1">
      <x v="11"/>
    </i>
    <i r="2">
      <x v="3"/>
    </i>
    <i r="3">
      <x v="1"/>
    </i>
    <i r="4">
      <x v="6"/>
    </i>
    <i r="5">
      <x/>
    </i>
    <i>
      <x v="12"/>
    </i>
    <i r="1">
      <x v="12"/>
    </i>
    <i r="2">
      <x v="3"/>
    </i>
    <i r="3">
      <x v="1"/>
    </i>
    <i r="4">
      <x v="6"/>
    </i>
    <i r="5">
      <x v="1"/>
    </i>
    <i>
      <x v="13"/>
    </i>
    <i r="1">
      <x v="13"/>
    </i>
    <i r="2">
      <x v="3"/>
    </i>
    <i r="3">
      <x v="1"/>
    </i>
    <i r="4">
      <x v="6"/>
    </i>
    <i r="5">
      <x v="1"/>
    </i>
    <i>
      <x v="14"/>
    </i>
    <i r="1">
      <x v="14"/>
    </i>
    <i r="2">
      <x v="8"/>
    </i>
    <i r="3">
      <x v="4"/>
    </i>
    <i r="4">
      <x v="6"/>
    </i>
    <i r="5">
      <x v="1"/>
    </i>
    <i>
      <x v="15"/>
    </i>
    <i r="1">
      <x v="15"/>
    </i>
    <i r="2">
      <x v="8"/>
    </i>
    <i r="3">
      <x v="4"/>
    </i>
    <i r="4">
      <x v="6"/>
    </i>
    <i r="5">
      <x v="1"/>
    </i>
    <i>
      <x v="16"/>
    </i>
    <i r="1">
      <x v="17"/>
    </i>
    <i r="2">
      <x v="1"/>
    </i>
    <i r="3">
      <x v="2"/>
    </i>
    <i r="4">
      <x v="6"/>
    </i>
    <i r="5">
      <x v="1"/>
    </i>
    <i>
      <x v="17"/>
    </i>
    <i r="1">
      <x v="18"/>
    </i>
    <i r="2">
      <x v="1"/>
    </i>
    <i r="3">
      <x v="2"/>
    </i>
    <i r="4">
      <x v="6"/>
    </i>
    <i r="5">
      <x v="1"/>
    </i>
    <i>
      <x v="18"/>
    </i>
    <i r="1">
      <x v="54"/>
    </i>
    <i r="2">
      <x v="9"/>
    </i>
    <i r="3">
      <x v="5"/>
    </i>
    <i r="4">
      <x v="6"/>
    </i>
    <i r="5">
      <x v="1"/>
    </i>
    <i>
      <x v="19"/>
    </i>
    <i r="1">
      <x v="16"/>
    </i>
    <i r="2">
      <x v="9"/>
    </i>
    <i r="3">
      <x v="5"/>
    </i>
    <i r="4">
      <x v="6"/>
    </i>
    <i r="5">
      <x v="1"/>
    </i>
    <i>
      <x v="20"/>
    </i>
    <i r="1">
      <x v="19"/>
    </i>
    <i r="2">
      <x v="5"/>
    </i>
    <i r="3">
      <x v="9"/>
    </i>
    <i r="4">
      <x v="6"/>
    </i>
    <i r="5">
      <x v="1"/>
    </i>
    <i>
      <x v="21"/>
    </i>
    <i r="1">
      <x v="20"/>
    </i>
    <i r="2">
      <x v="5"/>
    </i>
    <i r="3">
      <x v="2"/>
    </i>
    <i r="4">
      <x v="6"/>
    </i>
    <i r="5">
      <x v="1"/>
    </i>
    <i>
      <x v="22"/>
    </i>
    <i r="1">
      <x v="21"/>
    </i>
    <i r="2">
      <x v="3"/>
    </i>
    <i r="3">
      <x v="1"/>
    </i>
    <i r="4">
      <x v="6"/>
    </i>
    <i r="5">
      <x v="1"/>
    </i>
    <i>
      <x v="23"/>
    </i>
    <i r="1">
      <x v="22"/>
    </i>
    <i r="2">
      <x v="3"/>
    </i>
    <i r="3">
      <x v="9"/>
    </i>
    <i r="4">
      <x v="6"/>
    </i>
    <i r="5">
      <x v="1"/>
    </i>
    <i>
      <x v="24"/>
    </i>
    <i r="1">
      <x v="23"/>
    </i>
    <i r="2">
      <x v="3"/>
    </i>
    <i r="3">
      <x v="1"/>
    </i>
    <i r="4">
      <x v="1"/>
    </i>
    <i r="5">
      <x v="1"/>
    </i>
    <i>
      <x v="25"/>
    </i>
    <i r="1">
      <x v="24"/>
    </i>
    <i r="2">
      <x v="3"/>
    </i>
    <i r="3">
      <x v="1"/>
    </i>
    <i r="4">
      <x/>
    </i>
    <i r="5">
      <x v="1"/>
    </i>
    <i>
      <x v="26"/>
    </i>
    <i r="1">
      <x v="25"/>
    </i>
    <i r="2">
      <x v="3"/>
    </i>
    <i r="3">
      <x v="9"/>
    </i>
    <i r="4">
      <x v="6"/>
    </i>
    <i r="5">
      <x v="1"/>
    </i>
    <i>
      <x v="27"/>
    </i>
    <i r="1">
      <x v="26"/>
    </i>
    <i r="2">
      <x v="2"/>
    </i>
    <i r="3">
      <x v="1"/>
    </i>
    <i r="4">
      <x v="6"/>
    </i>
    <i r="5">
      <x v="1"/>
    </i>
    <i>
      <x v="28"/>
    </i>
    <i r="1">
      <x v="27"/>
    </i>
    <i r="2">
      <x v="5"/>
    </i>
    <i r="3">
      <x v="6"/>
    </i>
    <i r="4">
      <x v="4"/>
    </i>
    <i r="5">
      <x v="1"/>
    </i>
    <i>
      <x v="29"/>
    </i>
    <i r="1">
      <x v="28"/>
    </i>
    <i r="2">
      <x v="3"/>
    </i>
    <i r="3">
      <x v="1"/>
    </i>
    <i r="4">
      <x/>
    </i>
    <i r="5">
      <x v="1"/>
    </i>
    <i>
      <x v="30"/>
    </i>
    <i r="1">
      <x v="29"/>
    </i>
    <i r="2">
      <x v="3"/>
    </i>
    <i r="3">
      <x v="1"/>
    </i>
    <i r="4">
      <x v="6"/>
    </i>
    <i r="5">
      <x v="1"/>
    </i>
    <i>
      <x v="31"/>
    </i>
    <i r="1">
      <x v="30"/>
    </i>
    <i r="2">
      <x v="3"/>
    </i>
    <i r="3">
      <x v="1"/>
    </i>
    <i r="4">
      <x v="6"/>
    </i>
    <i r="5">
      <x v="1"/>
    </i>
    <i>
      <x v="32"/>
    </i>
    <i r="1">
      <x v="31"/>
    </i>
    <i r="2">
      <x v="2"/>
    </i>
    <i r="3">
      <x v="1"/>
    </i>
    <i r="4">
      <x v="6"/>
    </i>
    <i r="5">
      <x v="1"/>
    </i>
    <i>
      <x v="33"/>
    </i>
    <i r="1">
      <x v="32"/>
    </i>
    <i r="2">
      <x v="2"/>
    </i>
    <i r="3">
      <x v="1"/>
    </i>
    <i r="4">
      <x v="6"/>
    </i>
    <i r="5">
      <x v="1"/>
    </i>
    <i>
      <x v="34"/>
    </i>
    <i r="1">
      <x v="33"/>
    </i>
    <i r="2">
      <x v="2"/>
    </i>
    <i r="3">
      <x v="1"/>
    </i>
    <i r="4">
      <x v="6"/>
    </i>
    <i r="5">
      <x v="1"/>
    </i>
    <i>
      <x v="35"/>
    </i>
    <i r="1">
      <x v="34"/>
    </i>
    <i r="2">
      <x v="3"/>
    </i>
    <i r="3">
      <x v="1"/>
    </i>
    <i r="4">
      <x v="6"/>
    </i>
    <i r="5">
      <x v="1"/>
    </i>
    <i>
      <x v="36"/>
    </i>
    <i r="1">
      <x v="42"/>
    </i>
    <i r="2">
      <x v="5"/>
    </i>
    <i r="3">
      <x v="6"/>
    </i>
    <i r="4">
      <x v="6"/>
    </i>
    <i r="5">
      <x v="1"/>
    </i>
    <i>
      <x v="37"/>
    </i>
    <i r="1">
      <x v="35"/>
    </i>
    <i r="2">
      <x v="7"/>
    </i>
    <i r="3">
      <x v="2"/>
    </i>
    <i r="4">
      <x v="6"/>
    </i>
    <i r="5">
      <x v="1"/>
    </i>
    <i>
      <x v="38"/>
    </i>
    <i r="1">
      <x v="36"/>
    </i>
    <i r="2">
      <x v="10"/>
    </i>
    <i r="3">
      <x v="6"/>
    </i>
    <i r="4">
      <x v="6"/>
    </i>
    <i r="5">
      <x v="1"/>
    </i>
    <i>
      <x v="39"/>
    </i>
    <i r="1">
      <x v="37"/>
    </i>
    <i r="2">
      <x v="5"/>
    </i>
    <i r="3">
      <x v="9"/>
    </i>
    <i r="4">
      <x v="6"/>
    </i>
    <i r="5">
      <x v="1"/>
    </i>
    <i>
      <x v="40"/>
    </i>
    <i r="1">
      <x v="38"/>
    </i>
    <i r="2">
      <x/>
    </i>
    <i r="3">
      <x v="8"/>
    </i>
    <i r="4">
      <x v="6"/>
    </i>
    <i r="5">
      <x v="1"/>
    </i>
    <i>
      <x v="41"/>
    </i>
    <i r="1">
      <x v="39"/>
    </i>
    <i r="2">
      <x v="5"/>
    </i>
    <i r="3">
      <x v="9"/>
    </i>
    <i r="4">
      <x v="6"/>
    </i>
    <i r="5">
      <x v="1"/>
    </i>
    <i>
      <x v="42"/>
    </i>
    <i r="1">
      <x v="43"/>
    </i>
    <i r="2">
      <x v="5"/>
    </i>
    <i r="3">
      <x v="6"/>
    </i>
    <i r="4">
      <x v="6"/>
    </i>
    <i r="5">
      <x v="1"/>
    </i>
    <i>
      <x v="43"/>
    </i>
    <i r="1">
      <x v="40"/>
    </i>
    <i r="2">
      <x v="3"/>
    </i>
    <i r="3">
      <x v="1"/>
    </i>
    <i r="4">
      <x v="6"/>
    </i>
    <i r="5">
      <x v="1"/>
    </i>
    <i>
      <x v="44"/>
    </i>
    <i r="1">
      <x v="41"/>
    </i>
    <i r="2">
      <x v="3"/>
    </i>
    <i r="3">
      <x v="1"/>
    </i>
    <i r="4">
      <x v="6"/>
    </i>
    <i r="5">
      <x v="1"/>
    </i>
    <i>
      <x v="45"/>
    </i>
    <i r="1">
      <x v="44"/>
    </i>
    <i r="2">
      <x v="2"/>
    </i>
    <i r="3">
      <x v="1"/>
    </i>
    <i r="4">
      <x v="6"/>
    </i>
    <i r="5">
      <x v="1"/>
    </i>
    <i>
      <x v="46"/>
    </i>
    <i r="1">
      <x v="45"/>
    </i>
    <i r="2">
      <x v="6"/>
    </i>
    <i r="3">
      <x v="3"/>
    </i>
    <i r="4">
      <x v="6"/>
    </i>
    <i r="5">
      <x v="1"/>
    </i>
    <i>
      <x v="47"/>
    </i>
    <i r="1">
      <x v="46"/>
    </i>
    <i r="2">
      <x v="3"/>
    </i>
    <i r="3">
      <x v="9"/>
    </i>
    <i r="4">
      <x v="6"/>
    </i>
    <i r="5">
      <x v="1"/>
    </i>
    <i>
      <x v="48"/>
    </i>
    <i r="1">
      <x v="47"/>
    </i>
    <i r="2">
      <x v="5"/>
    </i>
    <i r="3">
      <x v="2"/>
    </i>
    <i r="4">
      <x v="6"/>
    </i>
    <i r="5">
      <x v="1"/>
    </i>
    <i>
      <x v="49"/>
    </i>
    <i r="1">
      <x v="48"/>
    </i>
    <i r="2">
      <x v="7"/>
    </i>
    <i r="3">
      <x v="2"/>
    </i>
    <i r="4">
      <x v="6"/>
    </i>
    <i r="5">
      <x v="1"/>
    </i>
    <i>
      <x v="50"/>
    </i>
    <i r="1">
      <x v="49"/>
    </i>
    <i r="2">
      <x v="3"/>
    </i>
    <i r="3">
      <x v="1"/>
    </i>
    <i r="4">
      <x v="6"/>
    </i>
    <i r="5">
      <x v="1"/>
    </i>
    <i>
      <x v="51"/>
    </i>
    <i r="1">
      <x v="50"/>
    </i>
    <i r="2">
      <x v="3"/>
    </i>
    <i r="3">
      <x v="1"/>
    </i>
    <i r="4">
      <x v="6"/>
    </i>
    <i r="5">
      <x v="1"/>
    </i>
    <i>
      <x v="52"/>
    </i>
    <i r="1">
      <x v="51"/>
    </i>
    <i r="2">
      <x v="2"/>
    </i>
    <i r="3">
      <x v="1"/>
    </i>
    <i r="4">
      <x v="6"/>
    </i>
    <i r="5">
      <x v="1"/>
    </i>
    <i>
      <x v="53"/>
    </i>
    <i r="1">
      <x v="52"/>
    </i>
    <i r="2">
      <x v="2"/>
    </i>
    <i r="3">
      <x v="1"/>
    </i>
    <i r="4">
      <x v="6"/>
    </i>
    <i r="5">
      <x v="1"/>
    </i>
    <i>
      <x v="54"/>
    </i>
    <i r="1">
      <x v="55"/>
    </i>
    <i r="2">
      <x v="5"/>
    </i>
    <i r="3">
      <x v="6"/>
    </i>
    <i r="4">
      <x v="6"/>
    </i>
    <i r="5">
      <x v="1"/>
    </i>
  </rowItems>
  <colItems count="1">
    <i/>
  </colItems>
  <formats count="13">
    <format dxfId="29">
      <pivotArea type="all" dataOnly="0" outline="0" fieldPosition="0"/>
    </format>
    <format dxfId="28">
      <pivotArea type="all" dataOnly="0" outline="0" fieldPosition="0"/>
    </format>
    <format dxfId="27">
      <pivotArea field="8" type="button" dataOnly="0" labelOnly="1" outline="0" axis="axisRow" fieldPosition="0"/>
    </format>
    <format dxfId="26">
      <pivotArea dataOnly="0" labelOnly="1" outline="0" fieldPosition="0">
        <references count="6">
          <reference field="4" count="1" selected="0">
            <x v="3"/>
          </reference>
          <reference field="5" count="1" selected="0">
            <x v="1"/>
          </reference>
          <reference field="6" count="1">
            <x v="0"/>
          </reference>
          <reference field="7" count="1" selected="0">
            <x v="6"/>
          </reference>
          <reference field="8" count="1" selected="0">
            <x v="0"/>
          </reference>
          <reference field="9" count="1" selected="0">
            <x v="0"/>
          </reference>
        </references>
      </pivotArea>
    </format>
    <format dxfId="25">
      <pivotArea dataOnly="0" labelOnly="1" fieldPosition="0">
        <references count="1">
          <reference field="6" count="0"/>
        </references>
      </pivotArea>
    </format>
    <format dxfId="24">
      <pivotArea type="all" dataOnly="0" outline="0" fieldPosition="0"/>
    </format>
    <format dxfId="23">
      <pivotArea type="all" dataOnly="0" outline="0" fieldPosition="0"/>
    </format>
    <format dxfId="22">
      <pivotArea field="8" type="button" dataOnly="0" labelOnly="1" outline="0" axis="axisRow" fieldPosition="0"/>
    </format>
    <format dxfId="21">
      <pivotArea field="8" type="button" dataOnly="0" labelOnly="1" outline="0" axis="axisRow" fieldPosition="0"/>
    </format>
    <format dxfId="20">
      <pivotArea field="8" type="button" dataOnly="0" labelOnly="1" outline="0" axis="axisRow" fieldPosition="0"/>
    </format>
    <format dxfId="19">
      <pivotArea type="all" dataOnly="0" outline="0" fieldPosition="0"/>
    </format>
    <format dxfId="18">
      <pivotArea type="all" dataOnly="0" outline="0" fieldPosition="0"/>
    </format>
    <format dxfId="17">
      <pivotArea field="8" type="button" dataOnly="0" labelOnly="1" outline="0" axis="axisRow" fieldPosition="0"/>
    </format>
  </formats>
  <pivotTableStyleInfo name="PivotStyleMedium10 2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Etapa" sourceName="Etapa">
  <pivotTables>
    <pivotTable tabId="7" name="Booking Dinamica"/>
  </pivotTables>
  <data>
    <tabular pivotCacheId="3" showMissing="0" crossFilter="showItemsWithNoData">
      <items count="4">
        <i x="1" s="1"/>
        <i x="2" s="1"/>
        <i x="0"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Categoria" sourceName="Categoria">
  <pivotTables>
    <pivotTable tabId="7" name="Booking Dinamica"/>
  </pivotTables>
  <data>
    <tabular pivotCacheId="3" showMissing="0" crossFilter="showItemsWithNoData">
      <items count="13">
        <i x="0" s="1"/>
        <i x="1" s="1"/>
        <i x="2" s="1"/>
        <i x="3" s="1"/>
        <i x="4" s="1"/>
        <i x="5" s="1"/>
        <i x="6" s="1"/>
        <i x="9" s="1" nd="1"/>
        <i x="12" s="1" nd="1"/>
        <i x="8" s="1" nd="1"/>
        <i x="11" s="1" nd="1"/>
        <i x="10"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Confirmação___Amendment" sourceName="Confirmação / Amendment">
  <pivotTables>
    <pivotTable tabId="7" name="Booking Dinamica"/>
  </pivotTables>
  <data>
    <tabular pivotCacheId="3" showMissing="0" crossFilter="showItemsWithNoData">
      <items count="7">
        <i x="2" s="1"/>
        <i x="4" s="1"/>
        <i x="1" s="1"/>
        <i x="0" s="1"/>
        <i x="3" s="1"/>
        <i x="5" s="1" nd="1"/>
        <i x="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Qual_a_restrição?" sourceName="Qual a restrição?">
  <pivotTables>
    <pivotTable tabId="7" name="Booking Dinamica"/>
  </pivotTables>
  <data>
    <tabular pivotCacheId="3" showMissing="0" crossFilter="showItemsWithNoData">
      <items count="102">
        <i x="0" s="1"/>
        <i x="1" s="1"/>
        <i x="2" s="1"/>
        <i x="44" s="1"/>
        <i x="3" s="1"/>
        <i x="4" s="1"/>
        <i x="51" s="1"/>
        <i x="43" s="1"/>
        <i x="5" s="1"/>
        <i x="6" s="1"/>
        <i x="7" s="1"/>
        <i x="9" s="1"/>
        <i x="8" s="1"/>
        <i x="10" s="1"/>
        <i x="11" s="1"/>
        <i x="12" s="1"/>
        <i x="13" s="1"/>
        <i x="14" s="1"/>
        <i x="15" s="1"/>
        <i x="16" s="1"/>
        <i x="17" s="1"/>
        <i x="18" s="1"/>
        <i x="19" s="1"/>
        <i x="20" s="1"/>
        <i x="21" s="1"/>
        <i x="42" s="1"/>
        <i x="46" s="1"/>
        <i x="22" s="1"/>
        <i x="23" s="1"/>
        <i x="24" s="1"/>
        <i x="25" s="1"/>
        <i x="26" s="1"/>
        <i x="28" s="1"/>
        <i x="27" s="1"/>
        <i x="29" s="1"/>
        <i x="31" s="1"/>
        <i x="30" s="1"/>
        <i x="32" s="1"/>
        <i x="33" s="1"/>
        <i x="34" s="1"/>
        <i x="35" s="1"/>
        <i x="45" s="1"/>
        <i x="36" s="1"/>
        <i x="37" s="1"/>
        <i x="38" s="1"/>
        <i x="39" s="1"/>
        <i x="40" s="1"/>
        <i x="41" s="1"/>
        <i x="47" s="1"/>
        <i x="49" s="1"/>
        <i x="48" s="1"/>
        <i x="50" s="1"/>
        <i x="77" s="1" nd="1"/>
        <i x="54" s="1" nd="1"/>
        <i x="87" s="1" nd="1"/>
        <i x="67" s="1" nd="1"/>
        <i x="69" s="1" nd="1"/>
        <i x="97" s="1" nd="1"/>
        <i x="70" s="1" nd="1"/>
        <i x="58" s="1" nd="1"/>
        <i x="74" s="1" nd="1"/>
        <i x="53" s="1" nd="1"/>
        <i x="89" s="1" nd="1"/>
        <i x="64" s="1" nd="1"/>
        <i x="68" s="1" nd="1"/>
        <i x="84" s="1" nd="1"/>
        <i x="75" s="1" nd="1"/>
        <i x="52" s="1" nd="1"/>
        <i x="55" s="1" nd="1"/>
        <i x="63" s="1" nd="1"/>
        <i x="60" s="1" nd="1"/>
        <i x="83" s="1" nd="1"/>
        <i x="98" s="1" nd="1"/>
        <i x="82" s="1" nd="1"/>
        <i x="95" s="1" nd="1"/>
        <i x="85" s="1" nd="1"/>
        <i x="65" s="1" nd="1"/>
        <i x="79" s="1" nd="1"/>
        <i x="94" s="1" nd="1"/>
        <i x="88" s="1" nd="1"/>
        <i x="93" s="1" nd="1"/>
        <i x="92" s="1" nd="1"/>
        <i x="56" s="1" nd="1"/>
        <i x="71" s="1" nd="1"/>
        <i x="101" s="1" nd="1"/>
        <i x="91" s="1" nd="1"/>
        <i x="76" s="1" nd="1"/>
        <i x="100" s="1" nd="1"/>
        <i x="72" s="1" nd="1"/>
        <i x="59" s="1" nd="1"/>
        <i x="90" s="1" nd="1"/>
        <i x="81" s="1" nd="1"/>
        <i x="78" s="1" nd="1"/>
        <i x="80" s="1" nd="1"/>
        <i x="62" s="1" nd="1"/>
        <i x="66" s="1" nd="1"/>
        <i x="99" s="1" nd="1"/>
        <i x="86" s="1" nd="1"/>
        <i x="96" s="1" nd="1"/>
        <i x="57" s="1" nd="1"/>
        <i x="61"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tapa" cache="SegmentaçãodeDados_Etapa" caption="Etapa" style="SlicerStyleLight2" rowHeight="252000"/>
  <slicer name="Categoria" cache="SegmentaçãodeDados_Categoria" caption="Categoria" style="SlicerStyleLight2" rowHeight="252000"/>
  <slicer name="Confirmação / Amendment" cache="SegmentaçãodeDados_Confirmação___Amendment" caption="Confirmação / Amendment" style="SlicerStyleLight2" rowHeight="252000"/>
  <slicer name="Qual a restrição?" cache="SegmentaçãodeDados_Qual_a_restrição?" caption="Qual a restrição?" columnCount="2" style="SlicerStyleLight2" rowHeight="252000"/>
</slicers>
</file>

<file path=xl/tables/table1.xml><?xml version="1.0" encoding="utf-8"?>
<table xmlns="http://schemas.openxmlformats.org/spreadsheetml/2006/main" id="2" name="BaseDinamica" displayName="BaseDinamica" ref="A2:L57" totalsRowShown="0" headerRowDxfId="16" dataDxfId="14" headerRowBorderDxfId="15" tableBorderDxfId="13" totalsRowBorderDxfId="12">
  <autoFilter ref="A2:L57"/>
  <sortState ref="A3:L56">
    <sortCondition ref="K2:K56"/>
  </sortState>
  <tableColumns count="12">
    <tableColumn id="1" name="Etapa" dataDxfId="11"/>
    <tableColumn id="2" name="Categoria" dataDxfId="10"/>
    <tableColumn id="3" name="Confirmação / Amendment" dataDxfId="9"/>
    <tableColumn id="4" name="Qual a restrição?" dataDxfId="8"/>
    <tableColumn id="5" name="Status do booking no Globe" dataDxfId="7"/>
    <tableColumn id="6" name="O que fazer no sistema" dataDxfId="6"/>
    <tableColumn id="7" name="Comunicação com cliente" dataDxfId="5"/>
    <tableColumn id="8" name="Ação do Booking Expert" dataDxfId="4"/>
    <tableColumn id="9" name="Remarks Globe (Revisão Gerência)" dataDxfId="3"/>
    <tableColumn id="10" name="Remarks Email (Revisão Gerência)" dataDxfId="2"/>
    <tableColumn id="11" name="Seq." dataDxfId="1"/>
    <tableColumn id="12" name="Cont." dataDxfId="0">
      <calculatedColumnFormula>LEN(I3)</calculatedColumnFormula>
    </tableColumn>
  </tableColumns>
  <tableStyleInfo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alianca.com.br/alianca/en/alianca/company_information/brazil_alianca/dailypositions_brazil_bra/dailypositions_cutoffs.html" TargetMode="External"/><Relationship Id="rId1" Type="http://schemas.openxmlformats.org/officeDocument/2006/relationships/hyperlink" Target="https://www.alianca.com.br/alianca/en/alianca/company_information/brazil_alianca/dailypositions_brazil_bra/dailypositions_cutoff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B501"/>
  <sheetViews>
    <sheetView showGridLines="0" tabSelected="1" zoomScale="90" zoomScaleNormal="90" workbookViewId="0">
      <selection activeCell="B2" sqref="B2"/>
    </sheetView>
  </sheetViews>
  <sheetFormatPr defaultRowHeight="12.75" x14ac:dyDescent="0.2"/>
  <cols>
    <col min="1" max="1" width="19.5703125" style="91" customWidth="1"/>
    <col min="2" max="2" width="46.7109375" style="95" customWidth="1"/>
    <col min="3" max="3" width="187" customWidth="1"/>
    <col min="4" max="4" width="9.140625" customWidth="1"/>
    <col min="22" max="22" width="15.28515625" customWidth="1"/>
  </cols>
  <sheetData>
    <row r="1" spans="1:2" ht="47.25" x14ac:dyDescent="0.2">
      <c r="A1" s="93"/>
      <c r="B1" s="97" t="s">
        <v>297</v>
      </c>
    </row>
    <row r="2" spans="1:2" ht="51" x14ac:dyDescent="0.2">
      <c r="A2" s="92" t="str">
        <f>IF(B2&lt;&gt;"","Remarks Globe","")</f>
        <v>Remarks Globe</v>
      </c>
      <c r="B2" s="95" t="s">
        <v>222</v>
      </c>
    </row>
    <row r="3" spans="1:2" ht="51" x14ac:dyDescent="0.2">
      <c r="A3" s="92" t="str">
        <f>IF(B3&lt;&gt;"","Remarks Email ","")</f>
        <v xml:space="preserve">Remarks Email </v>
      </c>
      <c r="B3" s="95" t="s">
        <v>223</v>
      </c>
    </row>
    <row r="4" spans="1:2" ht="25.5" x14ac:dyDescent="0.2">
      <c r="A4" s="92" t="str">
        <f>IF(B4&lt;&gt;"","Status do booking no Globe","")</f>
        <v>Status do booking no Globe</v>
      </c>
      <c r="B4" s="95" t="s">
        <v>4</v>
      </c>
    </row>
    <row r="5" spans="1:2" ht="25.5" x14ac:dyDescent="0.2">
      <c r="A5" s="92" t="str">
        <f>IF(B5&lt;&gt;"","O que fazer no sistema","")</f>
        <v>O que fazer no sistema</v>
      </c>
      <c r="B5" s="95" t="s">
        <v>5</v>
      </c>
    </row>
    <row r="6" spans="1:2" ht="25.5" x14ac:dyDescent="0.2">
      <c r="A6" s="92" t="str">
        <f>IF(B6&lt;&gt;"","Ação do Booking Expert","")</f>
        <v>Ação do Booking Expert</v>
      </c>
      <c r="B6" s="95" t="s">
        <v>294</v>
      </c>
    </row>
    <row r="7" spans="1:2" x14ac:dyDescent="0.2">
      <c r="A7" s="94" t="s">
        <v>295</v>
      </c>
      <c r="B7" s="96" t="s">
        <v>21</v>
      </c>
    </row>
    <row r="8" spans="1:2" ht="51" x14ac:dyDescent="0.2">
      <c r="A8" s="92" t="str">
        <f t="shared" ref="A8" si="0">IF(B8&lt;&gt;"","Remarks Globe","")</f>
        <v>Remarks Globe</v>
      </c>
      <c r="B8" s="95" t="s">
        <v>190</v>
      </c>
    </row>
    <row r="9" spans="1:2" ht="51" x14ac:dyDescent="0.2">
      <c r="A9" s="92" t="str">
        <f t="shared" ref="A9" si="1">IF(B9&lt;&gt;"","Remarks Email ","")</f>
        <v xml:space="preserve">Remarks Email </v>
      </c>
      <c r="B9" s="95" t="s">
        <v>191</v>
      </c>
    </row>
    <row r="10" spans="1:2" ht="25.5" x14ac:dyDescent="0.2">
      <c r="A10" s="92" t="str">
        <f t="shared" ref="A10" si="2">IF(B10&lt;&gt;"","Status do booking no Globe","")</f>
        <v>Status do booking no Globe</v>
      </c>
      <c r="B10" s="95" t="s">
        <v>4</v>
      </c>
    </row>
    <row r="11" spans="1:2" ht="25.5" x14ac:dyDescent="0.2">
      <c r="A11" s="92" t="str">
        <f t="shared" ref="A11" si="3">IF(B11&lt;&gt;"","O que fazer no sistema","")</f>
        <v>O que fazer no sistema</v>
      </c>
      <c r="B11" s="95" t="s">
        <v>5</v>
      </c>
    </row>
    <row r="12" spans="1:2" ht="25.5" x14ac:dyDescent="0.2">
      <c r="A12" s="92" t="str">
        <f t="shared" ref="A12" si="4">IF(B12&lt;&gt;"","Ação do Booking Expert","")</f>
        <v>Ação do Booking Expert</v>
      </c>
      <c r="B12" s="95" t="s">
        <v>27</v>
      </c>
    </row>
    <row r="13" spans="1:2" x14ac:dyDescent="0.2">
      <c r="A13" s="94" t="s">
        <v>295</v>
      </c>
      <c r="B13" s="96" t="s">
        <v>294</v>
      </c>
    </row>
    <row r="14" spans="1:2" ht="51" x14ac:dyDescent="0.2">
      <c r="A14" s="92" t="str">
        <f t="shared" ref="A14" si="5">IF(B14&lt;&gt;"","Remarks Globe","")</f>
        <v>Remarks Globe</v>
      </c>
      <c r="B14" s="95" t="s">
        <v>176</v>
      </c>
    </row>
    <row r="15" spans="1:2" ht="51" x14ac:dyDescent="0.2">
      <c r="A15" s="92" t="str">
        <f t="shared" ref="A15" si="6">IF(B15&lt;&gt;"","Remarks Email ","")</f>
        <v xml:space="preserve">Remarks Email </v>
      </c>
      <c r="B15" s="95" t="s">
        <v>177</v>
      </c>
    </row>
    <row r="16" spans="1:2" ht="25.5" x14ac:dyDescent="0.2">
      <c r="A16" s="92" t="str">
        <f t="shared" ref="A16" si="7">IF(B16&lt;&gt;"","Status do booking no Globe","")</f>
        <v>Status do booking no Globe</v>
      </c>
      <c r="B16" s="95" t="s">
        <v>4</v>
      </c>
    </row>
    <row r="17" spans="1:2" ht="25.5" x14ac:dyDescent="0.2">
      <c r="A17" s="92" t="str">
        <f t="shared" ref="A17" si="8">IF(B17&lt;&gt;"","O que fazer no sistema","")</f>
        <v>O que fazer no sistema</v>
      </c>
      <c r="B17" s="95" t="s">
        <v>5</v>
      </c>
    </row>
    <row r="18" spans="1:2" ht="25.5" x14ac:dyDescent="0.2">
      <c r="A18" s="92" t="str">
        <f t="shared" ref="A18" si="9">IF(B18&lt;&gt;"","Ação do Booking Expert","")</f>
        <v>Ação do Booking Expert</v>
      </c>
      <c r="B18" s="95" t="s">
        <v>294</v>
      </c>
    </row>
    <row r="19" spans="1:2" x14ac:dyDescent="0.2">
      <c r="A19" s="94" t="s">
        <v>295</v>
      </c>
      <c r="B19" s="96" t="s">
        <v>294</v>
      </c>
    </row>
    <row r="20" spans="1:2" ht="76.5" x14ac:dyDescent="0.2">
      <c r="A20" s="92" t="str">
        <f t="shared" ref="A20" si="10">IF(B20&lt;&gt;"","Remarks Globe","")</f>
        <v>Remarks Globe</v>
      </c>
      <c r="B20" s="95" t="s">
        <v>198</v>
      </c>
    </row>
    <row r="21" spans="1:2" ht="76.5" x14ac:dyDescent="0.2">
      <c r="A21" s="92" t="str">
        <f t="shared" ref="A21" si="11">IF(B21&lt;&gt;"","Remarks Email ","")</f>
        <v xml:space="preserve">Remarks Email </v>
      </c>
      <c r="B21" s="95" t="s">
        <v>199</v>
      </c>
    </row>
    <row r="22" spans="1:2" ht="25.5" x14ac:dyDescent="0.2">
      <c r="A22" s="92" t="str">
        <f t="shared" ref="A22" si="12">IF(B22&lt;&gt;"","Status do booking no Globe","")</f>
        <v>Status do booking no Globe</v>
      </c>
      <c r="B22" s="95" t="s">
        <v>4</v>
      </c>
    </row>
    <row r="23" spans="1:2" ht="25.5" x14ac:dyDescent="0.2">
      <c r="A23" s="92" t="str">
        <f t="shared" ref="A23" si="13">IF(B23&lt;&gt;"","O que fazer no sistema","")</f>
        <v>O que fazer no sistema</v>
      </c>
      <c r="B23" s="95" t="s">
        <v>294</v>
      </c>
    </row>
    <row r="24" spans="1:2" ht="25.5" x14ac:dyDescent="0.2">
      <c r="A24" s="92" t="str">
        <f t="shared" ref="A24" si="14">IF(B24&lt;&gt;"","Ação do Booking Expert","")</f>
        <v>Ação do Booking Expert</v>
      </c>
      <c r="B24" s="95" t="s">
        <v>294</v>
      </c>
    </row>
    <row r="25" spans="1:2" x14ac:dyDescent="0.2">
      <c r="A25" s="94" t="s">
        <v>295</v>
      </c>
      <c r="B25" s="96" t="s">
        <v>294</v>
      </c>
    </row>
    <row r="26" spans="1:2" ht="38.25" x14ac:dyDescent="0.2">
      <c r="A26" s="92" t="str">
        <f t="shared" ref="A26" si="15">IF(B26&lt;&gt;"","Remarks Globe","")</f>
        <v>Remarks Globe</v>
      </c>
      <c r="B26" s="95" t="s">
        <v>261</v>
      </c>
    </row>
    <row r="27" spans="1:2" ht="38.25" x14ac:dyDescent="0.2">
      <c r="A27" s="92" t="str">
        <f t="shared" ref="A27" si="16">IF(B27&lt;&gt;"","Remarks Email ","")</f>
        <v xml:space="preserve">Remarks Email </v>
      </c>
      <c r="B27" s="95" t="s">
        <v>262</v>
      </c>
    </row>
    <row r="28" spans="1:2" ht="25.5" x14ac:dyDescent="0.2">
      <c r="A28" s="92" t="str">
        <f t="shared" ref="A28" si="17">IF(B28&lt;&gt;"","Status do booking no Globe","")</f>
        <v>Status do booking no Globe</v>
      </c>
      <c r="B28" s="95" t="s">
        <v>4</v>
      </c>
    </row>
    <row r="29" spans="1:2" ht="25.5" x14ac:dyDescent="0.2">
      <c r="A29" s="92" t="str">
        <f t="shared" ref="A29" si="18">IF(B29&lt;&gt;"","O que fazer no sistema","")</f>
        <v>O que fazer no sistema</v>
      </c>
      <c r="B29" s="95" t="s">
        <v>5</v>
      </c>
    </row>
    <row r="30" spans="1:2" ht="25.5" x14ac:dyDescent="0.2">
      <c r="A30" s="92" t="str">
        <f t="shared" ref="A30" si="19">IF(B30&lt;&gt;"","Ação do Booking Expert","")</f>
        <v>Ação do Booking Expert</v>
      </c>
      <c r="B30" s="95" t="s">
        <v>294</v>
      </c>
    </row>
    <row r="31" spans="1:2" x14ac:dyDescent="0.2">
      <c r="A31" s="94" t="s">
        <v>295</v>
      </c>
      <c r="B31" s="96" t="s">
        <v>294</v>
      </c>
    </row>
    <row r="32" spans="1:2" ht="51" x14ac:dyDescent="0.2">
      <c r="A32" s="92" t="str">
        <f t="shared" ref="A32" si="20">IF(B32&lt;&gt;"","Remarks Globe","")</f>
        <v>Remarks Globe</v>
      </c>
      <c r="B32" s="95" t="s">
        <v>200</v>
      </c>
    </row>
    <row r="33" spans="1:2" ht="51" x14ac:dyDescent="0.2">
      <c r="A33" s="92" t="str">
        <f t="shared" ref="A33" si="21">IF(B33&lt;&gt;"","Remarks Email ","")</f>
        <v xml:space="preserve">Remarks Email </v>
      </c>
      <c r="B33" s="95" t="s">
        <v>201</v>
      </c>
    </row>
    <row r="34" spans="1:2" ht="25.5" x14ac:dyDescent="0.2">
      <c r="A34" s="92" t="str">
        <f t="shared" ref="A34" si="22">IF(B34&lt;&gt;"","Status do booking no Globe","")</f>
        <v>Status do booking no Globe</v>
      </c>
      <c r="B34" s="95" t="s">
        <v>4</v>
      </c>
    </row>
    <row r="35" spans="1:2" ht="25.5" x14ac:dyDescent="0.2">
      <c r="A35" s="92" t="str">
        <f t="shared" ref="A35" si="23">IF(B35&lt;&gt;"","O que fazer no sistema","")</f>
        <v>O que fazer no sistema</v>
      </c>
      <c r="B35" s="95" t="s">
        <v>294</v>
      </c>
    </row>
    <row r="36" spans="1:2" ht="25.5" x14ac:dyDescent="0.2">
      <c r="A36" s="92" t="str">
        <f t="shared" ref="A36" si="24">IF(B36&lt;&gt;"","Ação do Booking Expert","")</f>
        <v>Ação do Booking Expert</v>
      </c>
      <c r="B36" s="95" t="s">
        <v>294</v>
      </c>
    </row>
    <row r="37" spans="1:2" x14ac:dyDescent="0.2">
      <c r="A37" s="94" t="s">
        <v>295</v>
      </c>
      <c r="B37" s="96" t="s">
        <v>294</v>
      </c>
    </row>
    <row r="38" spans="1:2" ht="51" x14ac:dyDescent="0.2">
      <c r="A38" s="92" t="str">
        <f t="shared" ref="A38" si="25">IF(B38&lt;&gt;"","Remarks Globe","")</f>
        <v>Remarks Globe</v>
      </c>
      <c r="B38" s="95" t="s">
        <v>195</v>
      </c>
    </row>
    <row r="39" spans="1:2" ht="51" x14ac:dyDescent="0.2">
      <c r="A39" s="92" t="str">
        <f t="shared" ref="A39" si="26">IF(B39&lt;&gt;"","Remarks Email ","")</f>
        <v xml:space="preserve">Remarks Email </v>
      </c>
      <c r="B39" s="95" t="s">
        <v>311</v>
      </c>
    </row>
    <row r="40" spans="1:2" ht="25.5" x14ac:dyDescent="0.2">
      <c r="A40" s="92" t="str">
        <f t="shared" ref="A40" si="27">IF(B40&lt;&gt;"","Status do booking no Globe","")</f>
        <v>Status do booking no Globe</v>
      </c>
      <c r="B40" s="95" t="s">
        <v>20</v>
      </c>
    </row>
    <row r="41" spans="1:2" ht="25.5" x14ac:dyDescent="0.2">
      <c r="A41" s="92" t="str">
        <f t="shared" ref="A41" si="28">IF(B41&lt;&gt;"","O que fazer no sistema","")</f>
        <v>O que fazer no sistema</v>
      </c>
      <c r="B41" s="95" t="s">
        <v>5</v>
      </c>
    </row>
    <row r="42" spans="1:2" ht="25.5" x14ac:dyDescent="0.2">
      <c r="A42" s="92" t="str">
        <f t="shared" ref="A42" si="29">IF(B42&lt;&gt;"","Ação do Booking Expert","")</f>
        <v>Ação do Booking Expert</v>
      </c>
      <c r="B42" s="95" t="s">
        <v>294</v>
      </c>
    </row>
    <row r="43" spans="1:2" x14ac:dyDescent="0.2">
      <c r="A43" s="94" t="s">
        <v>295</v>
      </c>
      <c r="B43" s="96" t="s">
        <v>294</v>
      </c>
    </row>
    <row r="44" spans="1:2" ht="51" x14ac:dyDescent="0.2">
      <c r="A44" s="92" t="str">
        <f t="shared" ref="A44" si="30">IF(B44&lt;&gt;"","Remarks Globe","")</f>
        <v>Remarks Globe</v>
      </c>
      <c r="B44" s="95" t="s">
        <v>206</v>
      </c>
    </row>
    <row r="45" spans="1:2" ht="51" x14ac:dyDescent="0.2">
      <c r="A45" s="92" t="str">
        <f t="shared" ref="A45" si="31">IF(B45&lt;&gt;"","Remarks Email ","")</f>
        <v xml:space="preserve">Remarks Email </v>
      </c>
      <c r="B45" s="95" t="s">
        <v>207</v>
      </c>
    </row>
    <row r="46" spans="1:2" ht="25.5" x14ac:dyDescent="0.2">
      <c r="A46" s="92" t="str">
        <f t="shared" ref="A46" si="32">IF(B46&lt;&gt;"","Status do booking no Globe","")</f>
        <v>Status do booking no Globe</v>
      </c>
      <c r="B46" s="95" t="s">
        <v>4</v>
      </c>
    </row>
    <row r="47" spans="1:2" ht="25.5" x14ac:dyDescent="0.2">
      <c r="A47" s="92" t="str">
        <f t="shared" ref="A47" si="33">IF(B47&lt;&gt;"","O que fazer no sistema","")</f>
        <v>O que fazer no sistema</v>
      </c>
      <c r="B47" s="95" t="s">
        <v>294</v>
      </c>
    </row>
    <row r="48" spans="1:2" ht="25.5" x14ac:dyDescent="0.2">
      <c r="A48" s="92" t="str">
        <f t="shared" ref="A48" si="34">IF(B48&lt;&gt;"","Ação do Booking Expert","")</f>
        <v>Ação do Booking Expert</v>
      </c>
      <c r="B48" s="95" t="s">
        <v>294</v>
      </c>
    </row>
    <row r="49" spans="1:2" x14ac:dyDescent="0.2">
      <c r="A49" s="94" t="s">
        <v>295</v>
      </c>
      <c r="B49" s="96" t="s">
        <v>294</v>
      </c>
    </row>
    <row r="50" spans="1:2" ht="51" x14ac:dyDescent="0.2">
      <c r="A50" s="92" t="str">
        <f t="shared" ref="A50" si="35">IF(B50&lt;&gt;"","Remarks Globe","")</f>
        <v>Remarks Globe</v>
      </c>
      <c r="B50" s="95" t="s">
        <v>256</v>
      </c>
    </row>
    <row r="51" spans="1:2" ht="51" x14ac:dyDescent="0.2">
      <c r="A51" s="92" t="str">
        <f t="shared" ref="A51" si="36">IF(B51&lt;&gt;"","Remarks Email ","")</f>
        <v xml:space="preserve">Remarks Email </v>
      </c>
      <c r="B51" s="95" t="s">
        <v>257</v>
      </c>
    </row>
    <row r="52" spans="1:2" ht="25.5" x14ac:dyDescent="0.2">
      <c r="A52" s="92" t="str">
        <f t="shared" ref="A52" si="37">IF(B52&lt;&gt;"","Status do booking no Globe","")</f>
        <v>Status do booking no Globe</v>
      </c>
      <c r="B52" s="95" t="s">
        <v>7</v>
      </c>
    </row>
    <row r="53" spans="1:2" ht="63.75" x14ac:dyDescent="0.2">
      <c r="A53" s="92" t="str">
        <f t="shared" ref="A53" si="38">IF(B53&lt;&gt;"","O que fazer no sistema","")</f>
        <v>O que fazer no sistema</v>
      </c>
      <c r="B53" s="95" t="s">
        <v>253</v>
      </c>
    </row>
    <row r="54" spans="1:2" ht="25.5" x14ac:dyDescent="0.2">
      <c r="A54" s="92" t="str">
        <f t="shared" ref="A54" si="39">IF(B54&lt;&gt;"","Ação do Booking Expert","")</f>
        <v>Ação do Booking Expert</v>
      </c>
      <c r="B54" s="95" t="s">
        <v>290</v>
      </c>
    </row>
    <row r="55" spans="1:2" x14ac:dyDescent="0.2">
      <c r="A55" s="94" t="s">
        <v>295</v>
      </c>
      <c r="B55" s="96" t="s">
        <v>294</v>
      </c>
    </row>
    <row r="56" spans="1:2" ht="76.5" x14ac:dyDescent="0.2">
      <c r="A56" s="92" t="str">
        <f t="shared" ref="A56" si="40">IF(B56&lt;&gt;"","Remarks Globe","")</f>
        <v>Remarks Globe</v>
      </c>
      <c r="B56" s="95" t="s">
        <v>208</v>
      </c>
    </row>
    <row r="57" spans="1:2" ht="76.5" x14ac:dyDescent="0.2">
      <c r="A57" s="92" t="str">
        <f t="shared" ref="A57" si="41">IF(B57&lt;&gt;"","Remarks Email ","")</f>
        <v xml:space="preserve">Remarks Email </v>
      </c>
      <c r="B57" s="95" t="s">
        <v>209</v>
      </c>
    </row>
    <row r="58" spans="1:2" ht="25.5" x14ac:dyDescent="0.2">
      <c r="A58" s="92" t="str">
        <f t="shared" ref="A58" si="42">IF(B58&lt;&gt;"","Status do booking no Globe","")</f>
        <v>Status do booking no Globe</v>
      </c>
      <c r="B58" s="95" t="s">
        <v>7</v>
      </c>
    </row>
    <row r="59" spans="1:2" ht="38.25" x14ac:dyDescent="0.2">
      <c r="A59" s="92" t="str">
        <f t="shared" ref="A59" si="43">IF(B59&lt;&gt;"","O que fazer no sistema","")</f>
        <v>O que fazer no sistema</v>
      </c>
      <c r="B59" s="95" t="s">
        <v>10</v>
      </c>
    </row>
    <row r="60" spans="1:2" ht="38.25" x14ac:dyDescent="0.2">
      <c r="A60" s="92" t="str">
        <f t="shared" ref="A60" si="44">IF(B60&lt;&gt;"","Ação do Booking Expert","")</f>
        <v>Ação do Booking Expert</v>
      </c>
      <c r="B60" s="95" t="s">
        <v>11</v>
      </c>
    </row>
    <row r="61" spans="1:2" x14ac:dyDescent="0.2">
      <c r="A61" s="94" t="s">
        <v>295</v>
      </c>
      <c r="B61" s="96" t="s">
        <v>294</v>
      </c>
    </row>
    <row r="62" spans="1:2" ht="38.25" x14ac:dyDescent="0.2">
      <c r="A62" s="92" t="str">
        <f t="shared" ref="A62" si="45">IF(B62&lt;&gt;"","Remarks Globe","")</f>
        <v>Remarks Globe</v>
      </c>
      <c r="B62" s="95" t="s">
        <v>186</v>
      </c>
    </row>
    <row r="63" spans="1:2" ht="38.25" x14ac:dyDescent="0.2">
      <c r="A63" s="92" t="str">
        <f t="shared" ref="A63" si="46">IF(B63&lt;&gt;"","Remarks Email ","")</f>
        <v xml:space="preserve">Remarks Email </v>
      </c>
      <c r="B63" s="95" t="s">
        <v>187</v>
      </c>
    </row>
    <row r="64" spans="1:2" ht="25.5" x14ac:dyDescent="0.2">
      <c r="A64" s="92" t="str">
        <f t="shared" ref="A64" si="47">IF(B64&lt;&gt;"","Status do booking no Globe","")</f>
        <v>Status do booking no Globe</v>
      </c>
      <c r="B64" s="95" t="s">
        <v>2</v>
      </c>
    </row>
    <row r="65" spans="1:2" ht="25.5" x14ac:dyDescent="0.2">
      <c r="A65" s="92" t="str">
        <f t="shared" ref="A65" si="48">IF(B65&lt;&gt;"","O que fazer no sistema","")</f>
        <v>O que fazer no sistema</v>
      </c>
      <c r="B65" s="95" t="s">
        <v>294</v>
      </c>
    </row>
    <row r="66" spans="1:2" ht="25.5" x14ac:dyDescent="0.2">
      <c r="A66" s="92" t="str">
        <f t="shared" ref="A66" si="49">IF(B66&lt;&gt;"","Ação do Booking Expert","")</f>
        <v>Ação do Booking Expert</v>
      </c>
      <c r="B66" s="95" t="s">
        <v>294</v>
      </c>
    </row>
    <row r="67" spans="1:2" x14ac:dyDescent="0.2">
      <c r="A67" s="94" t="s">
        <v>295</v>
      </c>
      <c r="B67" s="96" t="s">
        <v>294</v>
      </c>
    </row>
    <row r="68" spans="1:2" ht="63.75" x14ac:dyDescent="0.2">
      <c r="A68" s="92" t="str">
        <f t="shared" ref="A68" si="50">IF(B68&lt;&gt;"","Remarks Globe","")</f>
        <v>Remarks Globe</v>
      </c>
      <c r="B68" s="95" t="s">
        <v>220</v>
      </c>
    </row>
    <row r="69" spans="1:2" ht="63.75" x14ac:dyDescent="0.2">
      <c r="A69" s="92" t="str">
        <f t="shared" ref="A69" si="51">IF(B69&lt;&gt;"","Remarks Email ","")</f>
        <v xml:space="preserve">Remarks Email </v>
      </c>
      <c r="B69" s="95" t="s">
        <v>221</v>
      </c>
    </row>
    <row r="70" spans="1:2" ht="25.5" x14ac:dyDescent="0.2">
      <c r="A70" s="92" t="str">
        <f t="shared" ref="A70" si="52">IF(B70&lt;&gt;"","Status do booking no Globe","")</f>
        <v>Status do booking no Globe</v>
      </c>
      <c r="B70" s="95" t="s">
        <v>4</v>
      </c>
    </row>
    <row r="71" spans="1:2" ht="25.5" x14ac:dyDescent="0.2">
      <c r="A71" s="92" t="str">
        <f t="shared" ref="A71" si="53">IF(B71&lt;&gt;"","O que fazer no sistema","")</f>
        <v>O que fazer no sistema</v>
      </c>
      <c r="B71" s="95" t="s">
        <v>5</v>
      </c>
    </row>
    <row r="72" spans="1:2" ht="25.5" x14ac:dyDescent="0.2">
      <c r="A72" s="92" t="str">
        <f t="shared" ref="A72" si="54">IF(B72&lt;&gt;"","Ação do Booking Expert","")</f>
        <v>Ação do Booking Expert</v>
      </c>
      <c r="B72" s="95" t="s">
        <v>294</v>
      </c>
    </row>
    <row r="73" spans="1:2" x14ac:dyDescent="0.2">
      <c r="A73" s="94" t="s">
        <v>295</v>
      </c>
      <c r="B73" s="96" t="s">
        <v>21</v>
      </c>
    </row>
    <row r="74" spans="1:2" ht="38.25" x14ac:dyDescent="0.2">
      <c r="A74" s="92" t="str">
        <f t="shared" ref="A74" si="55">IF(B74&lt;&gt;"","Remarks Globe","")</f>
        <v>Remarks Globe</v>
      </c>
      <c r="B74" s="95" t="s">
        <v>193</v>
      </c>
    </row>
    <row r="75" spans="1:2" ht="38.25" x14ac:dyDescent="0.2">
      <c r="A75" s="92" t="str">
        <f t="shared" ref="A75" si="56">IF(B75&lt;&gt;"","Remarks Email ","")</f>
        <v xml:space="preserve">Remarks Email </v>
      </c>
      <c r="B75" s="95" t="s">
        <v>194</v>
      </c>
    </row>
    <row r="76" spans="1:2" ht="25.5" x14ac:dyDescent="0.2">
      <c r="A76" s="92" t="str">
        <f t="shared" ref="A76" si="57">IF(B76&lt;&gt;"","Status do booking no Globe","")</f>
        <v>Status do booking no Globe</v>
      </c>
      <c r="B76" s="95" t="s">
        <v>4</v>
      </c>
    </row>
    <row r="77" spans="1:2" ht="25.5" x14ac:dyDescent="0.2">
      <c r="A77" s="92" t="str">
        <f t="shared" ref="A77" si="58">IF(B77&lt;&gt;"","O que fazer no sistema","")</f>
        <v>O que fazer no sistema</v>
      </c>
      <c r="B77" s="95" t="s">
        <v>5</v>
      </c>
    </row>
    <row r="78" spans="1:2" ht="25.5" x14ac:dyDescent="0.2">
      <c r="A78" s="92" t="str">
        <f t="shared" ref="A78" si="59">IF(B78&lt;&gt;"","Ação do Booking Expert","")</f>
        <v>Ação do Booking Expert</v>
      </c>
      <c r="B78" s="95" t="s">
        <v>294</v>
      </c>
    </row>
    <row r="79" spans="1:2" x14ac:dyDescent="0.2">
      <c r="A79" s="94" t="s">
        <v>295</v>
      </c>
      <c r="B79" s="96" t="s">
        <v>294</v>
      </c>
    </row>
    <row r="80" spans="1:2" ht="38.25" x14ac:dyDescent="0.2">
      <c r="A80" s="92" t="str">
        <f t="shared" ref="A80" si="60">IF(B80&lt;&gt;"","Remarks Globe","")</f>
        <v>Remarks Globe</v>
      </c>
      <c r="B80" s="95" t="s">
        <v>170</v>
      </c>
    </row>
    <row r="81" spans="1:2" ht="38.25" x14ac:dyDescent="0.2">
      <c r="A81" s="92" t="str">
        <f t="shared" ref="A81" si="61">IF(B81&lt;&gt;"","Remarks Email ","")</f>
        <v xml:space="preserve">Remarks Email </v>
      </c>
      <c r="B81" s="95" t="s">
        <v>171</v>
      </c>
    </row>
    <row r="82" spans="1:2" ht="25.5" x14ac:dyDescent="0.2">
      <c r="A82" s="92" t="str">
        <f t="shared" ref="A82" si="62">IF(B82&lt;&gt;"","Status do booking no Globe","")</f>
        <v>Status do booking no Globe</v>
      </c>
      <c r="B82" s="95" t="s">
        <v>4</v>
      </c>
    </row>
    <row r="83" spans="1:2" ht="25.5" x14ac:dyDescent="0.2">
      <c r="A83" s="92" t="str">
        <f t="shared" ref="A83" si="63">IF(B83&lt;&gt;"","O que fazer no sistema","")</f>
        <v>O que fazer no sistema</v>
      </c>
      <c r="B83" s="95" t="s">
        <v>5</v>
      </c>
    </row>
    <row r="84" spans="1:2" ht="25.5" x14ac:dyDescent="0.2">
      <c r="A84" s="92" t="str">
        <f t="shared" ref="A84" si="64">IF(B84&lt;&gt;"","Ação do Booking Expert","")</f>
        <v>Ação do Booking Expert</v>
      </c>
      <c r="B84" s="95" t="s">
        <v>294</v>
      </c>
    </row>
    <row r="85" spans="1:2" x14ac:dyDescent="0.2">
      <c r="A85" s="94" t="s">
        <v>295</v>
      </c>
      <c r="B85" s="96" t="s">
        <v>294</v>
      </c>
    </row>
    <row r="86" spans="1:2" ht="76.5" x14ac:dyDescent="0.2">
      <c r="A86" s="92" t="str">
        <f t="shared" ref="A86" si="65">IF(B86&lt;&gt;"","Remarks Globe","")</f>
        <v>Remarks Globe</v>
      </c>
      <c r="B86" s="95" t="s">
        <v>226</v>
      </c>
    </row>
    <row r="87" spans="1:2" ht="89.25" x14ac:dyDescent="0.2">
      <c r="A87" s="92" t="str">
        <f t="shared" ref="A87" si="66">IF(B87&lt;&gt;"","Remarks Email ","")</f>
        <v xml:space="preserve">Remarks Email </v>
      </c>
      <c r="B87" s="95" t="s">
        <v>227</v>
      </c>
    </row>
    <row r="88" spans="1:2" ht="25.5" x14ac:dyDescent="0.2">
      <c r="A88" s="92" t="str">
        <f t="shared" ref="A88" si="67">IF(B88&lt;&gt;"","Status do booking no Globe","")</f>
        <v>Status do booking no Globe</v>
      </c>
      <c r="B88" s="95" t="s">
        <v>224</v>
      </c>
    </row>
    <row r="89" spans="1:2" ht="38.25" x14ac:dyDescent="0.2">
      <c r="A89" s="92" t="str">
        <f t="shared" ref="A89" si="68">IF(B89&lt;&gt;"","O que fazer no sistema","")</f>
        <v>O que fazer no sistema</v>
      </c>
      <c r="B89" s="95" t="s">
        <v>225</v>
      </c>
    </row>
    <row r="90" spans="1:2" ht="25.5" x14ac:dyDescent="0.2">
      <c r="A90" s="92" t="str">
        <f t="shared" ref="A90" si="69">IF(B90&lt;&gt;"","Ação do Booking Expert","")</f>
        <v>Ação do Booking Expert</v>
      </c>
      <c r="B90" s="95" t="s">
        <v>294</v>
      </c>
    </row>
    <row r="91" spans="1:2" x14ac:dyDescent="0.2">
      <c r="A91" s="94" t="s">
        <v>295</v>
      </c>
      <c r="B91" s="96" t="s">
        <v>294</v>
      </c>
    </row>
    <row r="92" spans="1:2" ht="76.5" x14ac:dyDescent="0.2">
      <c r="A92" s="92" t="str">
        <f t="shared" ref="A92" si="70">IF(B92&lt;&gt;"","Remarks Globe","")</f>
        <v>Remarks Globe</v>
      </c>
      <c r="B92" s="95" t="s">
        <v>228</v>
      </c>
    </row>
    <row r="93" spans="1:2" ht="89.25" x14ac:dyDescent="0.2">
      <c r="A93" s="92" t="str">
        <f t="shared" ref="A93" si="71">IF(B93&lt;&gt;"","Remarks Email ","")</f>
        <v xml:space="preserve">Remarks Email </v>
      </c>
      <c r="B93" s="95" t="s">
        <v>229</v>
      </c>
    </row>
    <row r="94" spans="1:2" ht="25.5" x14ac:dyDescent="0.2">
      <c r="A94" s="92" t="str">
        <f t="shared" ref="A94" si="72">IF(B94&lt;&gt;"","Status do booking no Globe","")</f>
        <v>Status do booking no Globe</v>
      </c>
      <c r="B94" s="95" t="s">
        <v>224</v>
      </c>
    </row>
    <row r="95" spans="1:2" ht="38.25" x14ac:dyDescent="0.2">
      <c r="A95" s="92" t="str">
        <f t="shared" ref="A95" si="73">IF(B95&lt;&gt;"","O que fazer no sistema","")</f>
        <v>O que fazer no sistema</v>
      </c>
      <c r="B95" s="95" t="s">
        <v>225</v>
      </c>
    </row>
    <row r="96" spans="1:2" ht="25.5" x14ac:dyDescent="0.2">
      <c r="A96" s="92" t="str">
        <f t="shared" ref="A96" si="74">IF(B96&lt;&gt;"","Ação do Booking Expert","")</f>
        <v>Ação do Booking Expert</v>
      </c>
      <c r="B96" s="95" t="s">
        <v>294</v>
      </c>
    </row>
    <row r="97" spans="1:2" x14ac:dyDescent="0.2">
      <c r="A97" s="94" t="s">
        <v>295</v>
      </c>
      <c r="B97" s="96" t="s">
        <v>294</v>
      </c>
    </row>
    <row r="98" spans="1:2" ht="76.5" x14ac:dyDescent="0.2">
      <c r="A98" s="92" t="str">
        <f t="shared" ref="A98" si="75">IF(B98&lt;&gt;"","Remarks Globe","")</f>
        <v>Remarks Globe</v>
      </c>
      <c r="B98" s="95" t="s">
        <v>236</v>
      </c>
    </row>
    <row r="99" spans="1:2" ht="89.25" x14ac:dyDescent="0.2">
      <c r="A99" s="92" t="str">
        <f t="shared" ref="A99" si="76">IF(B99&lt;&gt;"","Remarks Email ","")</f>
        <v xml:space="preserve">Remarks Email </v>
      </c>
      <c r="B99" s="95" t="s">
        <v>237</v>
      </c>
    </row>
    <row r="100" spans="1:2" ht="25.5" x14ac:dyDescent="0.2">
      <c r="A100" s="92" t="str">
        <f t="shared" ref="A100" si="77">IF(B100&lt;&gt;"","Status do booking no Globe","")</f>
        <v>Status do booking no Globe</v>
      </c>
      <c r="B100" s="95" t="s">
        <v>235</v>
      </c>
    </row>
    <row r="101" spans="1:2" ht="25.5" x14ac:dyDescent="0.2">
      <c r="A101" s="92" t="str">
        <f t="shared" ref="A101" si="78">IF(B101&lt;&gt;"","O que fazer no sistema","")</f>
        <v>O que fazer no sistema</v>
      </c>
      <c r="B101" s="95" t="s">
        <v>9</v>
      </c>
    </row>
    <row r="102" spans="1:2" ht="25.5" x14ac:dyDescent="0.2">
      <c r="A102" s="92" t="str">
        <f t="shared" ref="A102" si="79">IF(B102&lt;&gt;"","Ação do Booking Expert","")</f>
        <v>Ação do Booking Expert</v>
      </c>
      <c r="B102" s="95" t="s">
        <v>294</v>
      </c>
    </row>
    <row r="103" spans="1:2" x14ac:dyDescent="0.2">
      <c r="A103" s="94" t="s">
        <v>295</v>
      </c>
      <c r="B103" s="96" t="s">
        <v>294</v>
      </c>
    </row>
    <row r="104" spans="1:2" ht="76.5" x14ac:dyDescent="0.2">
      <c r="A104" s="92" t="str">
        <f t="shared" ref="A104" si="80">IF(B104&lt;&gt;"","Remarks Globe","")</f>
        <v>Remarks Globe</v>
      </c>
      <c r="B104" s="95" t="s">
        <v>238</v>
      </c>
    </row>
    <row r="105" spans="1:2" ht="89.25" x14ac:dyDescent="0.2">
      <c r="A105" s="92" t="str">
        <f t="shared" ref="A105" si="81">IF(B105&lt;&gt;"","Remarks Email ","")</f>
        <v xml:space="preserve">Remarks Email </v>
      </c>
      <c r="B105" s="95" t="s">
        <v>239</v>
      </c>
    </row>
    <row r="106" spans="1:2" ht="25.5" x14ac:dyDescent="0.2">
      <c r="A106" s="92" t="str">
        <f t="shared" ref="A106" si="82">IF(B106&lt;&gt;"","Status do booking no Globe","")</f>
        <v>Status do booking no Globe</v>
      </c>
      <c r="B106" s="95" t="s">
        <v>235</v>
      </c>
    </row>
    <row r="107" spans="1:2" ht="25.5" x14ac:dyDescent="0.2">
      <c r="A107" s="92" t="str">
        <f t="shared" ref="A107" si="83">IF(B107&lt;&gt;"","O que fazer no sistema","")</f>
        <v>O que fazer no sistema</v>
      </c>
      <c r="B107" s="95" t="s">
        <v>9</v>
      </c>
    </row>
    <row r="108" spans="1:2" ht="25.5" x14ac:dyDescent="0.2">
      <c r="A108" s="92" t="str">
        <f t="shared" ref="A108" si="84">IF(B108&lt;&gt;"","Ação do Booking Expert","")</f>
        <v>Ação do Booking Expert</v>
      </c>
      <c r="B108" s="95" t="s">
        <v>294</v>
      </c>
    </row>
    <row r="109" spans="1:2" x14ac:dyDescent="0.2">
      <c r="A109" s="94" t="s">
        <v>295</v>
      </c>
      <c r="B109" s="96" t="s">
        <v>294</v>
      </c>
    </row>
    <row r="110" spans="1:2" ht="76.5" x14ac:dyDescent="0.2">
      <c r="A110" s="92" t="str">
        <f t="shared" ref="A110" si="85">IF(B110&lt;&gt;"","Remarks Globe","")</f>
        <v>Remarks Globe</v>
      </c>
      <c r="B110" s="95" t="s">
        <v>232</v>
      </c>
    </row>
    <row r="111" spans="1:2" ht="102" x14ac:dyDescent="0.2">
      <c r="A111" s="92" t="str">
        <f t="shared" ref="A111" si="86">IF(B111&lt;&gt;"","Remarks Email ","")</f>
        <v xml:space="preserve">Remarks Email </v>
      </c>
      <c r="B111" s="95" t="s">
        <v>315</v>
      </c>
    </row>
    <row r="112" spans="1:2" ht="25.5" x14ac:dyDescent="0.2">
      <c r="A112" s="92" t="str">
        <f t="shared" ref="A112" si="87">IF(B112&lt;&gt;"","Status do booking no Globe","")</f>
        <v>Status do booking no Globe</v>
      </c>
      <c r="B112" s="95" t="s">
        <v>230</v>
      </c>
    </row>
    <row r="113" spans="1:2" ht="25.5" x14ac:dyDescent="0.2">
      <c r="A113" s="92" t="str">
        <f t="shared" ref="A113" si="88">IF(B113&lt;&gt;"","O que fazer no sistema","")</f>
        <v>O que fazer no sistema</v>
      </c>
      <c r="B113" s="95" t="s">
        <v>231</v>
      </c>
    </row>
    <row r="114" spans="1:2" ht="25.5" x14ac:dyDescent="0.2">
      <c r="A114" s="92" t="str">
        <f t="shared" ref="A114" si="89">IF(B114&lt;&gt;"","Ação do Booking Expert","")</f>
        <v>Ação do Booking Expert</v>
      </c>
      <c r="B114" s="95" t="s">
        <v>294</v>
      </c>
    </row>
    <row r="115" spans="1:2" x14ac:dyDescent="0.2">
      <c r="A115" s="94" t="s">
        <v>295</v>
      </c>
      <c r="B115" s="96" t="s">
        <v>294</v>
      </c>
    </row>
    <row r="116" spans="1:2" ht="76.5" x14ac:dyDescent="0.2">
      <c r="A116" s="92" t="str">
        <f t="shared" ref="A116" si="90">IF(B116&lt;&gt;"","Remarks Globe","")</f>
        <v>Remarks Globe</v>
      </c>
      <c r="B116" s="95" t="s">
        <v>234</v>
      </c>
    </row>
    <row r="117" spans="1:2" ht="102" x14ac:dyDescent="0.2">
      <c r="A117" s="92" t="str">
        <f t="shared" ref="A117" si="91">IF(B117&lt;&gt;"","Remarks Email ","")</f>
        <v xml:space="preserve">Remarks Email </v>
      </c>
      <c r="B117" s="95" t="s">
        <v>233</v>
      </c>
    </row>
    <row r="118" spans="1:2" ht="25.5" x14ac:dyDescent="0.2">
      <c r="A118" s="92" t="str">
        <f t="shared" ref="A118" si="92">IF(B118&lt;&gt;"","Status do booking no Globe","")</f>
        <v>Status do booking no Globe</v>
      </c>
      <c r="B118" s="95" t="s">
        <v>230</v>
      </c>
    </row>
    <row r="119" spans="1:2" ht="25.5" x14ac:dyDescent="0.2">
      <c r="A119" s="92" t="str">
        <f t="shared" ref="A119" si="93">IF(B119&lt;&gt;"","O que fazer no sistema","")</f>
        <v>O que fazer no sistema</v>
      </c>
      <c r="B119" s="95" t="s">
        <v>231</v>
      </c>
    </row>
    <row r="120" spans="1:2" ht="25.5" x14ac:dyDescent="0.2">
      <c r="A120" s="92" t="str">
        <f t="shared" ref="A120" si="94">IF(B120&lt;&gt;"","Ação do Booking Expert","")</f>
        <v>Ação do Booking Expert</v>
      </c>
      <c r="B120" s="95" t="s">
        <v>294</v>
      </c>
    </row>
    <row r="121" spans="1:2" x14ac:dyDescent="0.2">
      <c r="A121" s="94" t="s">
        <v>295</v>
      </c>
      <c r="B121" s="96" t="s">
        <v>294</v>
      </c>
    </row>
    <row r="122" spans="1:2" ht="63.75" x14ac:dyDescent="0.2">
      <c r="A122" s="92" t="str">
        <f t="shared" ref="A122" si="95">IF(B122&lt;&gt;"","Remarks Globe","")</f>
        <v>Remarks Globe</v>
      </c>
      <c r="B122" s="95" t="s">
        <v>210</v>
      </c>
    </row>
    <row r="123" spans="1:2" ht="63.75" x14ac:dyDescent="0.2">
      <c r="A123" s="92" t="str">
        <f t="shared" ref="A123" si="96">IF(B123&lt;&gt;"","Remarks Email ","")</f>
        <v xml:space="preserve">Remarks Email </v>
      </c>
      <c r="B123" s="95" t="s">
        <v>211</v>
      </c>
    </row>
    <row r="124" spans="1:2" ht="25.5" x14ac:dyDescent="0.2">
      <c r="A124" s="92" t="str">
        <f t="shared" ref="A124" si="97">IF(B124&lt;&gt;"","Status do booking no Globe","")</f>
        <v>Status do booking no Globe</v>
      </c>
      <c r="B124" s="95" t="s">
        <v>2</v>
      </c>
    </row>
    <row r="125" spans="1:2" ht="25.5" x14ac:dyDescent="0.2">
      <c r="A125" s="92" t="str">
        <f t="shared" ref="A125" si="98">IF(B125&lt;&gt;"","O que fazer no sistema","")</f>
        <v>O que fazer no sistema</v>
      </c>
      <c r="B125" s="95" t="s">
        <v>294</v>
      </c>
    </row>
    <row r="126" spans="1:2" ht="25.5" x14ac:dyDescent="0.2">
      <c r="A126" s="92" t="str">
        <f t="shared" ref="A126" si="99">IF(B126&lt;&gt;"","Ação do Booking Expert","")</f>
        <v>Ação do Booking Expert</v>
      </c>
      <c r="B126" s="95" t="s">
        <v>294</v>
      </c>
    </row>
    <row r="127" spans="1:2" x14ac:dyDescent="0.2">
      <c r="A127" s="94" t="s">
        <v>295</v>
      </c>
      <c r="B127" s="96" t="s">
        <v>294</v>
      </c>
    </row>
    <row r="128" spans="1:2" ht="76.5" x14ac:dyDescent="0.2">
      <c r="A128" s="92" t="str">
        <f t="shared" ref="A128" si="100">IF(B128&lt;&gt;"","Remarks Globe","")</f>
        <v>Remarks Globe</v>
      </c>
      <c r="B128" s="95" t="s">
        <v>218</v>
      </c>
    </row>
    <row r="129" spans="1:2" ht="76.5" x14ac:dyDescent="0.2">
      <c r="A129" s="92" t="str">
        <f t="shared" ref="A129" si="101">IF(B129&lt;&gt;"","Remarks Email ","")</f>
        <v xml:space="preserve">Remarks Email </v>
      </c>
      <c r="B129" s="95" t="s">
        <v>219</v>
      </c>
    </row>
    <row r="130" spans="1:2" ht="25.5" x14ac:dyDescent="0.2">
      <c r="A130" s="92" t="str">
        <f t="shared" ref="A130" si="102">IF(B130&lt;&gt;"","Status do booking no Globe","")</f>
        <v>Status do booking no Globe</v>
      </c>
      <c r="B130" s="95" t="s">
        <v>2</v>
      </c>
    </row>
    <row r="131" spans="1:2" ht="25.5" x14ac:dyDescent="0.2">
      <c r="A131" s="92" t="str">
        <f t="shared" ref="A131" si="103">IF(B131&lt;&gt;"","O que fazer no sistema","")</f>
        <v>O que fazer no sistema</v>
      </c>
      <c r="B131" s="95" t="s">
        <v>9</v>
      </c>
    </row>
    <row r="132" spans="1:2" ht="25.5" x14ac:dyDescent="0.2">
      <c r="A132" s="92" t="str">
        <f t="shared" ref="A132" si="104">IF(B132&lt;&gt;"","Ação do Booking Expert","")</f>
        <v>Ação do Booking Expert</v>
      </c>
      <c r="B132" s="95" t="s">
        <v>294</v>
      </c>
    </row>
    <row r="133" spans="1:2" x14ac:dyDescent="0.2">
      <c r="A133" s="94" t="s">
        <v>295</v>
      </c>
      <c r="B133" s="96" t="s">
        <v>294</v>
      </c>
    </row>
    <row r="134" spans="1:2" ht="63.75" x14ac:dyDescent="0.2">
      <c r="A134" s="92" t="str">
        <f t="shared" ref="A134" si="105">IF(B134&lt;&gt;"","Remarks Globe","")</f>
        <v>Remarks Globe</v>
      </c>
      <c r="B134" s="95" t="s">
        <v>216</v>
      </c>
    </row>
    <row r="135" spans="1:2" ht="63.75" x14ac:dyDescent="0.2">
      <c r="A135" s="92" t="str">
        <f t="shared" ref="A135" si="106">IF(B135&lt;&gt;"","Remarks Email ","")</f>
        <v xml:space="preserve">Remarks Email </v>
      </c>
      <c r="B135" s="95" t="s">
        <v>217</v>
      </c>
    </row>
    <row r="136" spans="1:2" ht="25.5" x14ac:dyDescent="0.2">
      <c r="A136" s="92" t="str">
        <f t="shared" ref="A136" si="107">IF(B136&lt;&gt;"","Status do booking no Globe","")</f>
        <v>Status do booking no Globe</v>
      </c>
      <c r="B136" s="95" t="s">
        <v>4</v>
      </c>
    </row>
    <row r="137" spans="1:2" ht="25.5" x14ac:dyDescent="0.2">
      <c r="A137" s="92" t="str">
        <f t="shared" ref="A137" si="108">IF(B137&lt;&gt;"","O que fazer no sistema","")</f>
        <v>O que fazer no sistema</v>
      </c>
      <c r="B137" s="95" t="s">
        <v>5</v>
      </c>
    </row>
    <row r="138" spans="1:2" ht="25.5" x14ac:dyDescent="0.2">
      <c r="A138" s="92" t="str">
        <f t="shared" ref="A138" si="109">IF(B138&lt;&gt;"","Ação do Booking Expert","")</f>
        <v>Ação do Booking Expert</v>
      </c>
      <c r="B138" s="95" t="s">
        <v>294</v>
      </c>
    </row>
    <row r="139" spans="1:2" x14ac:dyDescent="0.2">
      <c r="A139" s="94" t="s">
        <v>295</v>
      </c>
      <c r="B139" s="96" t="s">
        <v>294</v>
      </c>
    </row>
    <row r="140" spans="1:2" ht="51" x14ac:dyDescent="0.2">
      <c r="A140" s="92" t="str">
        <f t="shared" ref="A140" si="110">IF(B140&lt;&gt;"","Remarks Globe","")</f>
        <v>Remarks Globe</v>
      </c>
      <c r="B140" s="95" t="s">
        <v>212</v>
      </c>
    </row>
    <row r="141" spans="1:2" ht="51" x14ac:dyDescent="0.2">
      <c r="A141" s="92" t="str">
        <f t="shared" ref="A141" si="111">IF(B141&lt;&gt;"","Remarks Email ","")</f>
        <v xml:space="preserve">Remarks Email </v>
      </c>
      <c r="B141" s="95" t="s">
        <v>213</v>
      </c>
    </row>
    <row r="142" spans="1:2" ht="25.5" x14ac:dyDescent="0.2">
      <c r="A142" s="92" t="str">
        <f t="shared" ref="A142" si="112">IF(B142&lt;&gt;"","Status do booking no Globe","")</f>
        <v>Status do booking no Globe</v>
      </c>
      <c r="B142" s="95" t="s">
        <v>4</v>
      </c>
    </row>
    <row r="143" spans="1:2" ht="25.5" x14ac:dyDescent="0.2">
      <c r="A143" s="92" t="str">
        <f t="shared" ref="A143" si="113">IF(B143&lt;&gt;"","O que fazer no sistema","")</f>
        <v>O que fazer no sistema</v>
      </c>
      <c r="B143" s="95" t="s">
        <v>294</v>
      </c>
    </row>
    <row r="144" spans="1:2" ht="25.5" x14ac:dyDescent="0.2">
      <c r="A144" s="92" t="str">
        <f t="shared" ref="A144" si="114">IF(B144&lt;&gt;"","Ação do Booking Expert","")</f>
        <v>Ação do Booking Expert</v>
      </c>
      <c r="B144" s="95" t="s">
        <v>294</v>
      </c>
    </row>
    <row r="145" spans="1:2" x14ac:dyDescent="0.2">
      <c r="A145" s="94" t="s">
        <v>295</v>
      </c>
      <c r="B145" s="96" t="s">
        <v>294</v>
      </c>
    </row>
    <row r="146" spans="1:2" ht="63.75" x14ac:dyDescent="0.2">
      <c r="A146" s="92" t="str">
        <f t="shared" ref="A146" si="115">IF(B146&lt;&gt;"","Remarks Globe","")</f>
        <v>Remarks Globe</v>
      </c>
      <c r="B146" s="95" t="s">
        <v>188</v>
      </c>
    </row>
    <row r="147" spans="1:2" ht="63.75" x14ac:dyDescent="0.2">
      <c r="A147" s="92" t="str">
        <f t="shared" ref="A147" si="116">IF(B147&lt;&gt;"","Remarks Email ","")</f>
        <v xml:space="preserve">Remarks Email </v>
      </c>
      <c r="B147" s="95" t="s">
        <v>189</v>
      </c>
    </row>
    <row r="148" spans="1:2" ht="25.5" x14ac:dyDescent="0.2">
      <c r="A148" s="92" t="str">
        <f t="shared" ref="A148" si="117">IF(B148&lt;&gt;"","Status do booking no Globe","")</f>
        <v>Status do booking no Globe</v>
      </c>
      <c r="B148" s="95" t="s">
        <v>4</v>
      </c>
    </row>
    <row r="149" spans="1:2" ht="25.5" x14ac:dyDescent="0.2">
      <c r="A149" s="92" t="str">
        <f t="shared" ref="A149" si="118">IF(B149&lt;&gt;"","O que fazer no sistema","")</f>
        <v>O que fazer no sistema</v>
      </c>
      <c r="B149" s="95" t="s">
        <v>5</v>
      </c>
    </row>
    <row r="150" spans="1:2" ht="25.5" x14ac:dyDescent="0.2">
      <c r="A150" s="92" t="str">
        <f t="shared" ref="A150" si="119">IF(B150&lt;&gt;"","Ação do Booking Expert","")</f>
        <v>Ação do Booking Expert</v>
      </c>
      <c r="B150" s="95" t="s">
        <v>26</v>
      </c>
    </row>
    <row r="151" spans="1:2" x14ac:dyDescent="0.2">
      <c r="A151" s="94" t="s">
        <v>295</v>
      </c>
      <c r="B151" s="96" t="s">
        <v>294</v>
      </c>
    </row>
    <row r="152" spans="1:2" ht="63.75" x14ac:dyDescent="0.2">
      <c r="A152" s="92" t="str">
        <f t="shared" ref="A152" si="120">IF(B152&lt;&gt;"","Remarks Globe","")</f>
        <v>Remarks Globe</v>
      </c>
      <c r="B152" s="95" t="s">
        <v>248</v>
      </c>
    </row>
    <row r="153" spans="1:2" ht="63.75" x14ac:dyDescent="0.2">
      <c r="A153" s="92" t="str">
        <f t="shared" ref="A153" si="121">IF(B153&lt;&gt;"","Remarks Email ","")</f>
        <v xml:space="preserve">Remarks Email </v>
      </c>
      <c r="B153" s="95" t="s">
        <v>248</v>
      </c>
    </row>
    <row r="154" spans="1:2" ht="25.5" x14ac:dyDescent="0.2">
      <c r="A154" s="92" t="str">
        <f t="shared" ref="A154" si="122">IF(B154&lt;&gt;"","Status do booking no Globe","")</f>
        <v>Status do booking no Globe</v>
      </c>
      <c r="B154" s="95" t="s">
        <v>4</v>
      </c>
    </row>
    <row r="155" spans="1:2" ht="25.5" x14ac:dyDescent="0.2">
      <c r="A155" s="92" t="str">
        <f t="shared" ref="A155" si="123">IF(B155&lt;&gt;"","O que fazer no sistema","")</f>
        <v>O que fazer no sistema</v>
      </c>
      <c r="B155" s="95" t="s">
        <v>5</v>
      </c>
    </row>
    <row r="156" spans="1:2" ht="25.5" x14ac:dyDescent="0.2">
      <c r="A156" s="92" t="str">
        <f t="shared" ref="A156" si="124">IF(B156&lt;&gt;"","Ação do Booking Expert","")</f>
        <v>Ação do Booking Expert</v>
      </c>
      <c r="B156" s="95" t="s">
        <v>24</v>
      </c>
    </row>
    <row r="157" spans="1:2" x14ac:dyDescent="0.2">
      <c r="A157" s="94" t="s">
        <v>295</v>
      </c>
      <c r="B157" s="96" t="s">
        <v>294</v>
      </c>
    </row>
    <row r="158" spans="1:2" ht="63.75" x14ac:dyDescent="0.2">
      <c r="A158" s="92" t="str">
        <f t="shared" ref="A158" si="125">IF(B158&lt;&gt;"","Remarks Globe","")</f>
        <v>Remarks Globe</v>
      </c>
      <c r="B158" s="95" t="s">
        <v>204</v>
      </c>
    </row>
    <row r="159" spans="1:2" ht="63.75" x14ac:dyDescent="0.2">
      <c r="A159" s="92" t="str">
        <f t="shared" ref="A159" si="126">IF(B159&lt;&gt;"","Remarks Email ","")</f>
        <v xml:space="preserve">Remarks Email </v>
      </c>
      <c r="B159" s="95" t="s">
        <v>205</v>
      </c>
    </row>
    <row r="160" spans="1:2" ht="25.5" x14ac:dyDescent="0.2">
      <c r="A160" s="92" t="str">
        <f t="shared" ref="A160" si="127">IF(B160&lt;&gt;"","Status do booking no Globe","")</f>
        <v>Status do booking no Globe</v>
      </c>
      <c r="B160" s="95" t="s">
        <v>4</v>
      </c>
    </row>
    <row r="161" spans="1:2" ht="25.5" x14ac:dyDescent="0.2">
      <c r="A161" s="92" t="str">
        <f t="shared" ref="A161" si="128">IF(B161&lt;&gt;"","O que fazer no sistema","")</f>
        <v>O que fazer no sistema</v>
      </c>
      <c r="B161" s="95" t="s">
        <v>294</v>
      </c>
    </row>
    <row r="162" spans="1:2" ht="25.5" x14ac:dyDescent="0.2">
      <c r="A162" s="92" t="str">
        <f t="shared" ref="A162" si="129">IF(B162&lt;&gt;"","Ação do Booking Expert","")</f>
        <v>Ação do Booking Expert</v>
      </c>
      <c r="B162" s="95" t="s">
        <v>294</v>
      </c>
    </row>
    <row r="163" spans="1:2" x14ac:dyDescent="0.2">
      <c r="A163" s="94" t="s">
        <v>295</v>
      </c>
      <c r="B163" s="96" t="s">
        <v>294</v>
      </c>
    </row>
    <row r="164" spans="1:2" ht="25.5" x14ac:dyDescent="0.2">
      <c r="A164" s="92" t="str">
        <f t="shared" ref="A164" si="130">IF(B164&lt;&gt;"","Remarks Globe","")</f>
        <v>Remarks Globe</v>
      </c>
      <c r="B164" s="95" t="s">
        <v>196</v>
      </c>
    </row>
    <row r="165" spans="1:2" ht="25.5" x14ac:dyDescent="0.2">
      <c r="A165" s="92" t="str">
        <f t="shared" ref="A165" si="131">IF(B165&lt;&gt;"","Remarks Email ","")</f>
        <v xml:space="preserve">Remarks Email </v>
      </c>
      <c r="B165" s="95" t="s">
        <v>197</v>
      </c>
    </row>
    <row r="166" spans="1:2" ht="25.5" x14ac:dyDescent="0.2">
      <c r="A166" s="92" t="str">
        <f t="shared" ref="A166" si="132">IF(B166&lt;&gt;"","Status do booking no Globe","")</f>
        <v>Status do booking no Globe</v>
      </c>
      <c r="B166" s="95" t="s">
        <v>20</v>
      </c>
    </row>
    <row r="167" spans="1:2" ht="25.5" x14ac:dyDescent="0.2">
      <c r="A167" s="92" t="str">
        <f t="shared" ref="A167" si="133">IF(B167&lt;&gt;"","O que fazer no sistema","")</f>
        <v>O que fazer no sistema</v>
      </c>
      <c r="B167" s="95" t="s">
        <v>5</v>
      </c>
    </row>
    <row r="168" spans="1:2" ht="25.5" x14ac:dyDescent="0.2">
      <c r="A168" s="92" t="str">
        <f t="shared" ref="A168" si="134">IF(B168&lt;&gt;"","Ação do Booking Expert","")</f>
        <v>Ação do Booking Expert</v>
      </c>
      <c r="B168" s="95" t="s">
        <v>294</v>
      </c>
    </row>
    <row r="169" spans="1:2" x14ac:dyDescent="0.2">
      <c r="A169" s="94" t="s">
        <v>295</v>
      </c>
      <c r="B169" s="96" t="s">
        <v>294</v>
      </c>
    </row>
    <row r="170" spans="1:2" ht="51" x14ac:dyDescent="0.2">
      <c r="A170" s="92" t="str">
        <f t="shared" ref="A170" si="135">IF(B170&lt;&gt;"","Remarks Globe","")</f>
        <v>Remarks Globe</v>
      </c>
      <c r="B170" s="95" t="s">
        <v>164</v>
      </c>
    </row>
    <row r="171" spans="1:2" ht="51" x14ac:dyDescent="0.2">
      <c r="A171" s="92" t="str">
        <f t="shared" ref="A171" si="136">IF(B171&lt;&gt;"","Remarks Email ","")</f>
        <v xml:space="preserve">Remarks Email </v>
      </c>
      <c r="B171" s="95" t="s">
        <v>165</v>
      </c>
    </row>
    <row r="172" spans="1:2" ht="25.5" x14ac:dyDescent="0.2">
      <c r="A172" s="92" t="str">
        <f t="shared" ref="A172" si="137">IF(B172&lt;&gt;"","Status do booking no Globe","")</f>
        <v>Status do booking no Globe</v>
      </c>
      <c r="B172" s="95" t="s">
        <v>2</v>
      </c>
    </row>
    <row r="173" spans="1:2" ht="25.5" x14ac:dyDescent="0.2">
      <c r="A173" s="92" t="str">
        <f t="shared" ref="A173" si="138">IF(B173&lt;&gt;"","O que fazer no sistema","")</f>
        <v>O que fazer no sistema</v>
      </c>
      <c r="B173" s="95" t="s">
        <v>3</v>
      </c>
    </row>
    <row r="174" spans="1:2" ht="25.5" x14ac:dyDescent="0.2">
      <c r="A174" s="92" t="str">
        <f t="shared" ref="A174" si="139">IF(B174&lt;&gt;"","Ação do Booking Expert","")</f>
        <v>Ação do Booking Expert</v>
      </c>
      <c r="B174" s="95" t="s">
        <v>6</v>
      </c>
    </row>
    <row r="175" spans="1:2" x14ac:dyDescent="0.2">
      <c r="A175" s="94" t="s">
        <v>295</v>
      </c>
      <c r="B175" s="96" t="s">
        <v>294</v>
      </c>
    </row>
    <row r="176" spans="1:2" ht="51" x14ac:dyDescent="0.2">
      <c r="A176" s="92" t="str">
        <f t="shared" ref="A176" si="140">IF(B176&lt;&gt;"","Remarks Globe","")</f>
        <v>Remarks Globe</v>
      </c>
      <c r="B176" s="95" t="s">
        <v>214</v>
      </c>
    </row>
    <row r="177" spans="1:2" ht="51" x14ac:dyDescent="0.2">
      <c r="A177" s="92" t="str">
        <f t="shared" ref="A177" si="141">IF(B177&lt;&gt;"","Remarks Email ","")</f>
        <v xml:space="preserve">Remarks Email </v>
      </c>
      <c r="B177" s="95" t="s">
        <v>215</v>
      </c>
    </row>
    <row r="178" spans="1:2" ht="25.5" x14ac:dyDescent="0.2">
      <c r="A178" s="92" t="str">
        <f t="shared" ref="A178" si="142">IF(B178&lt;&gt;"","Status do booking no Globe","")</f>
        <v>Status do booking no Globe</v>
      </c>
      <c r="B178" s="95" t="s">
        <v>4</v>
      </c>
    </row>
    <row r="179" spans="1:2" ht="25.5" x14ac:dyDescent="0.2">
      <c r="A179" s="92" t="str">
        <f t="shared" ref="A179" si="143">IF(B179&lt;&gt;"","O que fazer no sistema","")</f>
        <v>O que fazer no sistema</v>
      </c>
      <c r="B179" s="95" t="s">
        <v>5</v>
      </c>
    </row>
    <row r="180" spans="1:2" ht="25.5" x14ac:dyDescent="0.2">
      <c r="A180" s="92" t="str">
        <f t="shared" ref="A180" si="144">IF(B180&lt;&gt;"","Ação do Booking Expert","")</f>
        <v>Ação do Booking Expert</v>
      </c>
      <c r="B180" s="95" t="s">
        <v>24</v>
      </c>
    </row>
    <row r="181" spans="1:2" x14ac:dyDescent="0.2">
      <c r="A181" s="94" t="s">
        <v>295</v>
      </c>
      <c r="B181" s="96" t="s">
        <v>294</v>
      </c>
    </row>
    <row r="182" spans="1:2" ht="38.25" x14ac:dyDescent="0.2">
      <c r="A182" s="92" t="str">
        <f t="shared" ref="A182" si="145">IF(B182&lt;&gt;"","Remarks Globe","")</f>
        <v>Remarks Globe</v>
      </c>
      <c r="B182" s="95" t="s">
        <v>251</v>
      </c>
    </row>
    <row r="183" spans="1:2" ht="38.25" x14ac:dyDescent="0.2">
      <c r="A183" s="92" t="str">
        <f t="shared" ref="A183" si="146">IF(B183&lt;&gt;"","Remarks Email ","")</f>
        <v xml:space="preserve">Remarks Email </v>
      </c>
      <c r="B183" s="95" t="s">
        <v>252</v>
      </c>
    </row>
    <row r="184" spans="1:2" ht="25.5" x14ac:dyDescent="0.2">
      <c r="A184" s="92" t="str">
        <f t="shared" ref="A184" si="147">IF(B184&lt;&gt;"","Status do booking no Globe","")</f>
        <v>Status do booking no Globe</v>
      </c>
      <c r="B184" s="95" t="s">
        <v>4</v>
      </c>
    </row>
    <row r="185" spans="1:2" ht="25.5" x14ac:dyDescent="0.2">
      <c r="A185" s="92" t="str">
        <f t="shared" ref="A185" si="148">IF(B185&lt;&gt;"","O que fazer no sistema","")</f>
        <v>O que fazer no sistema</v>
      </c>
      <c r="B185" s="95" t="s">
        <v>5</v>
      </c>
    </row>
    <row r="186" spans="1:2" ht="25.5" x14ac:dyDescent="0.2">
      <c r="A186" s="92" t="str">
        <f t="shared" ref="A186" si="149">IF(B186&lt;&gt;"","Ação do Booking Expert","")</f>
        <v>Ação do Booking Expert</v>
      </c>
      <c r="B186" s="95" t="s">
        <v>294</v>
      </c>
    </row>
    <row r="187" spans="1:2" x14ac:dyDescent="0.2">
      <c r="A187" s="94" t="s">
        <v>295</v>
      </c>
      <c r="B187" s="96" t="s">
        <v>294</v>
      </c>
    </row>
    <row r="188" spans="1:2" ht="63.75" x14ac:dyDescent="0.2">
      <c r="A188" s="92" t="str">
        <f t="shared" ref="A188" si="150">IF(B188&lt;&gt;"","Remarks Globe","")</f>
        <v>Remarks Globe</v>
      </c>
      <c r="B188" s="95" t="s">
        <v>242</v>
      </c>
    </row>
    <row r="189" spans="1:2" ht="63.75" x14ac:dyDescent="0.2">
      <c r="A189" s="92" t="str">
        <f t="shared" ref="A189" si="151">IF(B189&lt;&gt;"","Remarks Email ","")</f>
        <v xml:space="preserve">Remarks Email </v>
      </c>
      <c r="B189" s="95" t="s">
        <v>243</v>
      </c>
    </row>
    <row r="190" spans="1:2" ht="25.5" x14ac:dyDescent="0.2">
      <c r="A190" s="92" t="str">
        <f t="shared" ref="A190" si="152">IF(B190&lt;&gt;"","Status do booking no Globe","")</f>
        <v>Status do booking no Globe</v>
      </c>
      <c r="B190" s="95" t="s">
        <v>4</v>
      </c>
    </row>
    <row r="191" spans="1:2" ht="25.5" x14ac:dyDescent="0.2">
      <c r="A191" s="92" t="str">
        <f t="shared" ref="A191" si="153">IF(B191&lt;&gt;"","O que fazer no sistema","")</f>
        <v>O que fazer no sistema</v>
      </c>
      <c r="B191" s="95" t="s">
        <v>5</v>
      </c>
    </row>
    <row r="192" spans="1:2" ht="25.5" x14ac:dyDescent="0.2">
      <c r="A192" s="92" t="str">
        <f t="shared" ref="A192" si="154">IF(B192&lt;&gt;"","Ação do Booking Expert","")</f>
        <v>Ação do Booking Expert</v>
      </c>
      <c r="B192" s="95" t="s">
        <v>294</v>
      </c>
    </row>
    <row r="193" spans="1:2" x14ac:dyDescent="0.2">
      <c r="A193" s="94" t="s">
        <v>295</v>
      </c>
      <c r="B193" s="96" t="s">
        <v>294</v>
      </c>
    </row>
    <row r="194" spans="1:2" ht="38.25" x14ac:dyDescent="0.2">
      <c r="A194" s="92" t="str">
        <f t="shared" ref="A194" si="155">IF(B194&lt;&gt;"","Remarks Globe","")</f>
        <v>Remarks Globe</v>
      </c>
      <c r="B194" s="95" t="s">
        <v>259</v>
      </c>
    </row>
    <row r="195" spans="1:2" ht="38.25" x14ac:dyDescent="0.2">
      <c r="A195" s="92" t="str">
        <f t="shared" ref="A195" si="156">IF(B195&lt;&gt;"","Remarks Email ","")</f>
        <v xml:space="preserve">Remarks Email </v>
      </c>
      <c r="B195" s="95" t="s">
        <v>260</v>
      </c>
    </row>
    <row r="196" spans="1:2" ht="25.5" x14ac:dyDescent="0.2">
      <c r="A196" s="92" t="str">
        <f t="shared" ref="A196" si="157">IF(B196&lt;&gt;"","Status do booking no Globe","")</f>
        <v>Status do booking no Globe</v>
      </c>
      <c r="B196" s="95" t="s">
        <v>20</v>
      </c>
    </row>
    <row r="197" spans="1:2" ht="25.5" x14ac:dyDescent="0.2">
      <c r="A197" s="92" t="str">
        <f t="shared" ref="A197" si="158">IF(B197&lt;&gt;"","O que fazer no sistema","")</f>
        <v>O que fazer no sistema</v>
      </c>
      <c r="B197" s="95" t="s">
        <v>5</v>
      </c>
    </row>
    <row r="198" spans="1:2" ht="25.5" x14ac:dyDescent="0.2">
      <c r="A198" s="92" t="str">
        <f t="shared" ref="A198" si="159">IF(B198&lt;&gt;"","Ação do Booking Expert","")</f>
        <v>Ação do Booking Expert</v>
      </c>
      <c r="B198" s="95" t="s">
        <v>294</v>
      </c>
    </row>
    <row r="199" spans="1:2" x14ac:dyDescent="0.2">
      <c r="A199" s="94" t="s">
        <v>295</v>
      </c>
      <c r="B199" s="96" t="s">
        <v>294</v>
      </c>
    </row>
    <row r="200" spans="1:2" ht="51" x14ac:dyDescent="0.2">
      <c r="A200" s="92" t="str">
        <f t="shared" ref="A200" si="160">IF(B200&lt;&gt;"","Remarks Globe","")</f>
        <v>Remarks Globe</v>
      </c>
      <c r="B200" s="95" t="s">
        <v>54</v>
      </c>
    </row>
    <row r="201" spans="1:2" ht="51" x14ac:dyDescent="0.2">
      <c r="A201" s="92" t="str">
        <f t="shared" ref="A201" si="161">IF(B201&lt;&gt;"","Remarks Email ","")</f>
        <v xml:space="preserve">Remarks Email </v>
      </c>
      <c r="B201" s="95" t="s">
        <v>55</v>
      </c>
    </row>
    <row r="202" spans="1:2" ht="25.5" x14ac:dyDescent="0.2">
      <c r="A202" s="92" t="str">
        <f t="shared" ref="A202" si="162">IF(B202&lt;&gt;"","Status do booking no Globe","")</f>
        <v>Status do booking no Globe</v>
      </c>
      <c r="B202" s="95" t="s">
        <v>20</v>
      </c>
    </row>
    <row r="203" spans="1:2" ht="25.5" x14ac:dyDescent="0.2">
      <c r="A203" s="92" t="str">
        <f t="shared" ref="A203" si="163">IF(B203&lt;&gt;"","O que fazer no sistema","")</f>
        <v>O que fazer no sistema</v>
      </c>
      <c r="B203" s="95" t="s">
        <v>5</v>
      </c>
    </row>
    <row r="204" spans="1:2" ht="25.5" x14ac:dyDescent="0.2">
      <c r="A204" s="92" t="str">
        <f t="shared" ref="A204" si="164">IF(B204&lt;&gt;"","Ação do Booking Expert","")</f>
        <v>Ação do Booking Expert</v>
      </c>
      <c r="B204" s="95" t="s">
        <v>294</v>
      </c>
    </row>
    <row r="205" spans="1:2" x14ac:dyDescent="0.2">
      <c r="A205" s="94" t="s">
        <v>295</v>
      </c>
      <c r="B205" s="96" t="s">
        <v>294</v>
      </c>
    </row>
    <row r="206" spans="1:2" ht="38.25" x14ac:dyDescent="0.2">
      <c r="A206" s="92" t="str">
        <f t="shared" ref="A206" si="165">IF(B206&lt;&gt;"","Remarks Globe","")</f>
        <v>Remarks Globe</v>
      </c>
      <c r="B206" s="95" t="s">
        <v>168</v>
      </c>
    </row>
    <row r="207" spans="1:2" ht="38.25" x14ac:dyDescent="0.2">
      <c r="A207" s="92" t="str">
        <f t="shared" ref="A207" si="166">IF(B207&lt;&gt;"","Remarks Email ","")</f>
        <v xml:space="preserve">Remarks Email </v>
      </c>
      <c r="B207" s="95" t="s">
        <v>169</v>
      </c>
    </row>
    <row r="208" spans="1:2" ht="25.5" x14ac:dyDescent="0.2">
      <c r="A208" s="92" t="str">
        <f t="shared" ref="A208" si="167">IF(B208&lt;&gt;"","Status do booking no Globe","")</f>
        <v>Status do booking no Globe</v>
      </c>
      <c r="B208" s="95" t="s">
        <v>20</v>
      </c>
    </row>
    <row r="209" spans="1:2" ht="25.5" x14ac:dyDescent="0.2">
      <c r="A209" s="92" t="str">
        <f t="shared" ref="A209" si="168">IF(B209&lt;&gt;"","O que fazer no sistema","")</f>
        <v>O que fazer no sistema</v>
      </c>
      <c r="B209" s="95" t="s">
        <v>5</v>
      </c>
    </row>
    <row r="210" spans="1:2" ht="25.5" x14ac:dyDescent="0.2">
      <c r="A210" s="92" t="str">
        <f t="shared" ref="A210" si="169">IF(B210&lt;&gt;"","Ação do Booking Expert","")</f>
        <v>Ação do Booking Expert</v>
      </c>
      <c r="B210" s="95" t="s">
        <v>294</v>
      </c>
    </row>
    <row r="211" spans="1:2" x14ac:dyDescent="0.2">
      <c r="A211" s="94" t="s">
        <v>295</v>
      </c>
      <c r="B211" s="96" t="s">
        <v>294</v>
      </c>
    </row>
    <row r="212" spans="1:2" ht="51" x14ac:dyDescent="0.2">
      <c r="A212" s="92" t="str">
        <f t="shared" ref="A212" si="170">IF(B212&lt;&gt;"","Remarks Globe","")</f>
        <v>Remarks Globe</v>
      </c>
      <c r="B212" s="95" t="s">
        <v>180</v>
      </c>
    </row>
    <row r="213" spans="1:2" ht="51" x14ac:dyDescent="0.2">
      <c r="A213" s="92" t="str">
        <f t="shared" ref="A213" si="171">IF(B213&lt;&gt;"","Remarks Email ","")</f>
        <v xml:space="preserve">Remarks Email </v>
      </c>
      <c r="B213" s="95" t="s">
        <v>181</v>
      </c>
    </row>
    <row r="214" spans="1:2" ht="25.5" x14ac:dyDescent="0.2">
      <c r="A214" s="92" t="str">
        <f t="shared" ref="A214" si="172">IF(B214&lt;&gt;"","Status do booking no Globe","")</f>
        <v>Status do booking no Globe</v>
      </c>
      <c r="B214" s="95" t="s">
        <v>4</v>
      </c>
    </row>
    <row r="215" spans="1:2" ht="25.5" x14ac:dyDescent="0.2">
      <c r="A215" s="92" t="str">
        <f t="shared" ref="A215" si="173">IF(B215&lt;&gt;"","O que fazer no sistema","")</f>
        <v>O que fazer no sistema</v>
      </c>
      <c r="B215" s="95" t="s">
        <v>5</v>
      </c>
    </row>
    <row r="216" spans="1:2" ht="25.5" x14ac:dyDescent="0.2">
      <c r="A216" s="92" t="str">
        <f t="shared" ref="A216" si="174">IF(B216&lt;&gt;"","Ação do Booking Expert","")</f>
        <v>Ação do Booking Expert</v>
      </c>
      <c r="B216" s="95" t="s">
        <v>294</v>
      </c>
    </row>
    <row r="217" spans="1:2" x14ac:dyDescent="0.2">
      <c r="A217" s="94" t="s">
        <v>295</v>
      </c>
      <c r="B217" s="96" t="s">
        <v>294</v>
      </c>
    </row>
    <row r="218" spans="1:2" ht="38.25" x14ac:dyDescent="0.2">
      <c r="A218" s="92" t="str">
        <f t="shared" ref="A218" si="175">IF(B218&lt;&gt;"","Remarks Globe","")</f>
        <v>Remarks Globe</v>
      </c>
      <c r="B218" s="95" t="s">
        <v>166</v>
      </c>
    </row>
    <row r="219" spans="1:2" ht="38.25" x14ac:dyDescent="0.2">
      <c r="A219" s="92" t="str">
        <f t="shared" ref="A219" si="176">IF(B219&lt;&gt;"","Remarks Email ","")</f>
        <v xml:space="preserve">Remarks Email </v>
      </c>
      <c r="B219" s="95" t="s">
        <v>167</v>
      </c>
    </row>
    <row r="220" spans="1:2" ht="25.5" x14ac:dyDescent="0.2">
      <c r="A220" s="92" t="str">
        <f t="shared" ref="A220" si="177">IF(B220&lt;&gt;"","Status do booking no Globe","")</f>
        <v>Status do booking no Globe</v>
      </c>
      <c r="B220" s="95" t="s">
        <v>2</v>
      </c>
    </row>
    <row r="221" spans="1:2" ht="25.5" x14ac:dyDescent="0.2">
      <c r="A221" s="92" t="str">
        <f t="shared" ref="A221" si="178">IF(B221&lt;&gt;"","O que fazer no sistema","")</f>
        <v>O que fazer no sistema</v>
      </c>
      <c r="B221" s="95" t="s">
        <v>3</v>
      </c>
    </row>
    <row r="222" spans="1:2" ht="25.5" x14ac:dyDescent="0.2">
      <c r="A222" s="92" t="str">
        <f t="shared" ref="A222" si="179">IF(B222&lt;&gt;"","Ação do Booking Expert","")</f>
        <v>Ação do Booking Expert</v>
      </c>
      <c r="B222" s="95" t="s">
        <v>294</v>
      </c>
    </row>
    <row r="223" spans="1:2" x14ac:dyDescent="0.2">
      <c r="A223" s="94" t="s">
        <v>295</v>
      </c>
      <c r="B223" s="96" t="s">
        <v>294</v>
      </c>
    </row>
    <row r="224" spans="1:2" ht="38.25" x14ac:dyDescent="0.2">
      <c r="A224" s="92" t="str">
        <f t="shared" ref="A224" si="180">IF(B224&lt;&gt;"","Remarks Globe","")</f>
        <v>Remarks Globe</v>
      </c>
      <c r="B224" s="95" t="s">
        <v>240</v>
      </c>
    </row>
    <row r="225" spans="1:2" ht="38.25" x14ac:dyDescent="0.2">
      <c r="A225" s="92" t="str">
        <f t="shared" ref="A225" si="181">IF(B225&lt;&gt;"","Remarks Email ","")</f>
        <v xml:space="preserve">Remarks Email </v>
      </c>
      <c r="B225" s="95" t="s">
        <v>241</v>
      </c>
    </row>
    <row r="226" spans="1:2" ht="25.5" x14ac:dyDescent="0.2">
      <c r="A226" s="92" t="str">
        <f t="shared" ref="A226" si="182">IF(B226&lt;&gt;"","Status do booking no Globe","")</f>
        <v>Status do booking no Globe</v>
      </c>
      <c r="B226" s="95" t="s">
        <v>8</v>
      </c>
    </row>
    <row r="227" spans="1:2" ht="25.5" x14ac:dyDescent="0.2">
      <c r="A227" s="92" t="str">
        <f t="shared" ref="A227" si="183">IF(B227&lt;&gt;"","O que fazer no sistema","")</f>
        <v>O que fazer no sistema</v>
      </c>
      <c r="B227" s="95" t="s">
        <v>9</v>
      </c>
    </row>
    <row r="228" spans="1:2" ht="25.5" x14ac:dyDescent="0.2">
      <c r="A228" s="92" t="str">
        <f t="shared" ref="A228" si="184">IF(B228&lt;&gt;"","Ação do Booking Expert","")</f>
        <v>Ação do Booking Expert</v>
      </c>
      <c r="B228" s="95" t="s">
        <v>294</v>
      </c>
    </row>
    <row r="229" spans="1:2" x14ac:dyDescent="0.2">
      <c r="A229" s="94" t="s">
        <v>295</v>
      </c>
      <c r="B229" s="96" t="s">
        <v>294</v>
      </c>
    </row>
    <row r="230" spans="1:2" ht="63.75" x14ac:dyDescent="0.2">
      <c r="A230" s="92" t="str">
        <f t="shared" ref="A230" si="185">IF(B230&lt;&gt;"","Remarks Globe","")</f>
        <v>Remarks Globe</v>
      </c>
      <c r="B230" s="95" t="s">
        <v>244</v>
      </c>
    </row>
    <row r="231" spans="1:2" ht="63.75" x14ac:dyDescent="0.2">
      <c r="A231" s="92" t="str">
        <f t="shared" ref="A231" si="186">IF(B231&lt;&gt;"","Remarks Email ","")</f>
        <v xml:space="preserve">Remarks Email </v>
      </c>
      <c r="B231" s="95" t="s">
        <v>245</v>
      </c>
    </row>
    <row r="232" spans="1:2" ht="25.5" x14ac:dyDescent="0.2">
      <c r="A232" s="92" t="str">
        <f t="shared" ref="A232" si="187">IF(B232&lt;&gt;"","Status do booking no Globe","")</f>
        <v>Status do booking no Globe</v>
      </c>
      <c r="B232" s="95" t="s">
        <v>289</v>
      </c>
    </row>
    <row r="233" spans="1:2" ht="25.5" x14ac:dyDescent="0.2">
      <c r="A233" s="92" t="str">
        <f t="shared" ref="A233" si="188">IF(B233&lt;&gt;"","O que fazer no sistema","")</f>
        <v>O que fazer no sistema</v>
      </c>
      <c r="B233" s="95" t="s">
        <v>3</v>
      </c>
    </row>
    <row r="234" spans="1:2" ht="25.5" x14ac:dyDescent="0.2">
      <c r="A234" s="92" t="str">
        <f t="shared" ref="A234" si="189">IF(B234&lt;&gt;"","Ação do Booking Expert","")</f>
        <v>Ação do Booking Expert</v>
      </c>
      <c r="B234" s="95" t="s">
        <v>294</v>
      </c>
    </row>
    <row r="235" spans="1:2" x14ac:dyDescent="0.2">
      <c r="A235" s="94" t="s">
        <v>295</v>
      </c>
      <c r="B235" s="96" t="s">
        <v>294</v>
      </c>
    </row>
    <row r="236" spans="1:2" ht="63.75" x14ac:dyDescent="0.2">
      <c r="A236" s="92" t="str">
        <f t="shared" ref="A236" si="190">IF(B236&lt;&gt;"","Remarks Globe","")</f>
        <v>Remarks Globe</v>
      </c>
      <c r="B236" s="95" t="s">
        <v>249</v>
      </c>
    </row>
    <row r="237" spans="1:2" ht="63.75" x14ac:dyDescent="0.2">
      <c r="A237" s="92" t="str">
        <f t="shared" ref="A237" si="191">IF(B237&lt;&gt;"","Remarks Email ","")</f>
        <v xml:space="preserve">Remarks Email </v>
      </c>
      <c r="B237" s="95" t="s">
        <v>250</v>
      </c>
    </row>
    <row r="238" spans="1:2" ht="25.5" x14ac:dyDescent="0.2">
      <c r="A238" s="92" t="str">
        <f t="shared" ref="A238" si="192">IF(B238&lt;&gt;"","Status do booking no Globe","")</f>
        <v>Status do booking no Globe</v>
      </c>
      <c r="B238" s="95" t="s">
        <v>2</v>
      </c>
    </row>
    <row r="239" spans="1:2" ht="25.5" x14ac:dyDescent="0.2">
      <c r="A239" s="92" t="str">
        <f t="shared" ref="A239" si="193">IF(B239&lt;&gt;"","O que fazer no sistema","")</f>
        <v>O que fazer no sistema</v>
      </c>
      <c r="B239" s="95" t="s">
        <v>294</v>
      </c>
    </row>
    <row r="240" spans="1:2" ht="25.5" x14ac:dyDescent="0.2">
      <c r="A240" s="92" t="str">
        <f t="shared" ref="A240" si="194">IF(B240&lt;&gt;"","Ação do Booking Expert","")</f>
        <v>Ação do Booking Expert</v>
      </c>
      <c r="B240" s="95" t="s">
        <v>294</v>
      </c>
    </row>
    <row r="241" spans="1:2" x14ac:dyDescent="0.2">
      <c r="A241" s="94" t="s">
        <v>295</v>
      </c>
      <c r="B241" s="96" t="s">
        <v>294</v>
      </c>
    </row>
    <row r="242" spans="1:2" ht="38.25" x14ac:dyDescent="0.2">
      <c r="A242" s="92" t="str">
        <f t="shared" ref="A242" si="195">IF(B242&lt;&gt;"","Remarks Globe","")</f>
        <v>Remarks Globe</v>
      </c>
      <c r="B242" s="95" t="s">
        <v>254</v>
      </c>
    </row>
    <row r="243" spans="1:2" ht="38.25" x14ac:dyDescent="0.2">
      <c r="A243" s="92" t="str">
        <f t="shared" ref="A243" si="196">IF(B243&lt;&gt;"","Remarks Email ","")</f>
        <v xml:space="preserve">Remarks Email </v>
      </c>
      <c r="B243" s="95" t="s">
        <v>255</v>
      </c>
    </row>
    <row r="244" spans="1:2" ht="25.5" x14ac:dyDescent="0.2">
      <c r="A244" s="92" t="str">
        <f t="shared" ref="A244" si="197">IF(B244&lt;&gt;"","Status do booking no Globe","")</f>
        <v>Status do booking no Globe</v>
      </c>
      <c r="B244" s="95" t="s">
        <v>7</v>
      </c>
    </row>
    <row r="245" spans="1:2" ht="63.75" x14ac:dyDescent="0.2">
      <c r="A245" s="92" t="str">
        <f t="shared" ref="A245" si="198">IF(B245&lt;&gt;"","O que fazer no sistema","")</f>
        <v>O que fazer no sistema</v>
      </c>
      <c r="B245" s="95" t="s">
        <v>253</v>
      </c>
    </row>
    <row r="246" spans="1:2" ht="25.5" x14ac:dyDescent="0.2">
      <c r="A246" s="92" t="str">
        <f t="shared" ref="A246" si="199">IF(B246&lt;&gt;"","Ação do Booking Expert","")</f>
        <v>Ação do Booking Expert</v>
      </c>
      <c r="B246" s="95" t="s">
        <v>294</v>
      </c>
    </row>
    <row r="247" spans="1:2" x14ac:dyDescent="0.2">
      <c r="A247" s="94" t="s">
        <v>295</v>
      </c>
      <c r="B247" s="96" t="s">
        <v>294</v>
      </c>
    </row>
    <row r="248" spans="1:2" ht="51" x14ac:dyDescent="0.2">
      <c r="A248" s="92" t="str">
        <f t="shared" ref="A248" si="200">IF(B248&lt;&gt;"","Remarks Globe","")</f>
        <v>Remarks Globe</v>
      </c>
      <c r="B248" s="95" t="s">
        <v>246</v>
      </c>
    </row>
    <row r="249" spans="1:2" ht="51" x14ac:dyDescent="0.2">
      <c r="A249" s="92" t="str">
        <f t="shared" ref="A249" si="201">IF(B249&lt;&gt;"","Remarks Email ","")</f>
        <v xml:space="preserve">Remarks Email </v>
      </c>
      <c r="B249" s="95" t="s">
        <v>247</v>
      </c>
    </row>
    <row r="250" spans="1:2" ht="25.5" x14ac:dyDescent="0.2">
      <c r="A250" s="92" t="str">
        <f t="shared" ref="A250" si="202">IF(B250&lt;&gt;"","Status do booking no Globe","")</f>
        <v>Status do booking no Globe</v>
      </c>
      <c r="B250" s="95" t="s">
        <v>2</v>
      </c>
    </row>
    <row r="251" spans="1:2" ht="25.5" x14ac:dyDescent="0.2">
      <c r="A251" s="92" t="str">
        <f t="shared" ref="A251" si="203">IF(B251&lt;&gt;"","O que fazer no sistema","")</f>
        <v>O que fazer no sistema</v>
      </c>
      <c r="B251" s="95" t="s">
        <v>294</v>
      </c>
    </row>
    <row r="252" spans="1:2" ht="25.5" x14ac:dyDescent="0.2">
      <c r="A252" s="92" t="str">
        <f t="shared" ref="A252" si="204">IF(B252&lt;&gt;"","Ação do Booking Expert","")</f>
        <v>Ação do Booking Expert</v>
      </c>
      <c r="B252" s="95" t="s">
        <v>294</v>
      </c>
    </row>
    <row r="253" spans="1:2" x14ac:dyDescent="0.2">
      <c r="A253" s="94" t="s">
        <v>295</v>
      </c>
      <c r="B253" s="96" t="s">
        <v>294</v>
      </c>
    </row>
    <row r="254" spans="1:2" ht="38.25" x14ac:dyDescent="0.2">
      <c r="A254" s="92" t="str">
        <f t="shared" ref="A254" si="205">IF(B254&lt;&gt;"","Remarks Globe","")</f>
        <v>Remarks Globe</v>
      </c>
      <c r="B254" s="95" t="s">
        <v>178</v>
      </c>
    </row>
    <row r="255" spans="1:2" ht="38.25" x14ac:dyDescent="0.2">
      <c r="A255" s="92" t="str">
        <f t="shared" ref="A255" si="206">IF(B255&lt;&gt;"","Remarks Email ","")</f>
        <v xml:space="preserve">Remarks Email </v>
      </c>
      <c r="B255" s="95" t="s">
        <v>179</v>
      </c>
    </row>
    <row r="256" spans="1:2" ht="25.5" x14ac:dyDescent="0.2">
      <c r="A256" s="92" t="str">
        <f t="shared" ref="A256" si="207">IF(B256&lt;&gt;"","Status do booking no Globe","")</f>
        <v>Status do booking no Globe</v>
      </c>
      <c r="B256" s="95" t="s">
        <v>2</v>
      </c>
    </row>
    <row r="257" spans="1:2" ht="25.5" x14ac:dyDescent="0.2">
      <c r="A257" s="92" t="str">
        <f t="shared" ref="A257" si="208">IF(B257&lt;&gt;"","O que fazer no sistema","")</f>
        <v>O que fazer no sistema</v>
      </c>
      <c r="B257" s="95" t="s">
        <v>3</v>
      </c>
    </row>
    <row r="258" spans="1:2" ht="25.5" x14ac:dyDescent="0.2">
      <c r="A258" s="92" t="str">
        <f t="shared" ref="A258" si="209">IF(B258&lt;&gt;"","Ação do Booking Expert","")</f>
        <v>Ação do Booking Expert</v>
      </c>
      <c r="B258" s="95" t="s">
        <v>294</v>
      </c>
    </row>
    <row r="259" spans="1:2" x14ac:dyDescent="0.2">
      <c r="A259" s="94" t="s">
        <v>295</v>
      </c>
      <c r="B259" s="96" t="s">
        <v>294</v>
      </c>
    </row>
    <row r="260" spans="1:2" ht="38.25" x14ac:dyDescent="0.2">
      <c r="A260" s="92" t="str">
        <f t="shared" ref="A260" si="210">IF(B260&lt;&gt;"","Remarks Globe","")</f>
        <v>Remarks Globe</v>
      </c>
      <c r="B260" s="95" t="s">
        <v>184</v>
      </c>
    </row>
    <row r="261" spans="1:2" ht="38.25" x14ac:dyDescent="0.2">
      <c r="A261" s="92" t="str">
        <f t="shared" ref="A261" si="211">IF(B261&lt;&gt;"","Remarks Email ","")</f>
        <v xml:space="preserve">Remarks Email </v>
      </c>
      <c r="B261" s="95" t="s">
        <v>185</v>
      </c>
    </row>
    <row r="262" spans="1:2" ht="25.5" x14ac:dyDescent="0.2">
      <c r="A262" s="92" t="str">
        <f t="shared" ref="A262" si="212">IF(B262&lt;&gt;"","Status do booking no Globe","")</f>
        <v>Status do booking no Globe</v>
      </c>
      <c r="B262" s="95" t="s">
        <v>4</v>
      </c>
    </row>
    <row r="263" spans="1:2" ht="25.5" x14ac:dyDescent="0.2">
      <c r="A263" s="92" t="str">
        <f t="shared" ref="A263" si="213">IF(B263&lt;&gt;"","O que fazer no sistema","")</f>
        <v>O que fazer no sistema</v>
      </c>
      <c r="B263" s="95" t="s">
        <v>5</v>
      </c>
    </row>
    <row r="264" spans="1:2" ht="25.5" x14ac:dyDescent="0.2">
      <c r="A264" s="92" t="str">
        <f t="shared" ref="A264" si="214">IF(B264&lt;&gt;"","Ação do Booking Expert","")</f>
        <v>Ação do Booking Expert</v>
      </c>
      <c r="B264" s="95" t="s">
        <v>294</v>
      </c>
    </row>
    <row r="265" spans="1:2" x14ac:dyDescent="0.2">
      <c r="A265" s="94" t="s">
        <v>295</v>
      </c>
      <c r="B265" s="96" t="s">
        <v>294</v>
      </c>
    </row>
    <row r="266" spans="1:2" ht="38.25" x14ac:dyDescent="0.2">
      <c r="A266" s="92" t="str">
        <f t="shared" ref="A266" si="215">IF(B266&lt;&gt;"","Remarks Globe","")</f>
        <v>Remarks Globe</v>
      </c>
      <c r="B266" s="95" t="s">
        <v>182</v>
      </c>
    </row>
    <row r="267" spans="1:2" ht="38.25" x14ac:dyDescent="0.2">
      <c r="A267" s="92" t="str">
        <f t="shared" ref="A267" si="216">IF(B267&lt;&gt;"","Remarks Email ","")</f>
        <v xml:space="preserve">Remarks Email </v>
      </c>
      <c r="B267" s="95" t="s">
        <v>183</v>
      </c>
    </row>
    <row r="268" spans="1:2" ht="25.5" x14ac:dyDescent="0.2">
      <c r="A268" s="92" t="str">
        <f t="shared" ref="A268" si="217">IF(B268&lt;&gt;"","Status do booking no Globe","")</f>
        <v>Status do booking no Globe</v>
      </c>
      <c r="B268" s="95" t="s">
        <v>4</v>
      </c>
    </row>
    <row r="269" spans="1:2" ht="25.5" x14ac:dyDescent="0.2">
      <c r="A269" s="92" t="str">
        <f t="shared" ref="A269" si="218">IF(B269&lt;&gt;"","O que fazer no sistema","")</f>
        <v>O que fazer no sistema</v>
      </c>
      <c r="B269" s="95" t="s">
        <v>5</v>
      </c>
    </row>
    <row r="270" spans="1:2" ht="25.5" x14ac:dyDescent="0.2">
      <c r="A270" s="92" t="str">
        <f t="shared" ref="A270" si="219">IF(B270&lt;&gt;"","Ação do Booking Expert","")</f>
        <v>Ação do Booking Expert</v>
      </c>
      <c r="B270" s="95" t="s">
        <v>294</v>
      </c>
    </row>
    <row r="271" spans="1:2" x14ac:dyDescent="0.2">
      <c r="A271" s="94" t="s">
        <v>295</v>
      </c>
      <c r="B271" s="96" t="s">
        <v>294</v>
      </c>
    </row>
    <row r="272" spans="1:2" ht="38.25" x14ac:dyDescent="0.2">
      <c r="A272" s="92" t="str">
        <f t="shared" ref="A272" si="220">IF(B272&lt;&gt;"","Remarks Globe","")</f>
        <v>Remarks Globe</v>
      </c>
      <c r="B272" s="95" t="s">
        <v>172</v>
      </c>
    </row>
    <row r="273" spans="1:2" ht="38.25" x14ac:dyDescent="0.2">
      <c r="A273" s="92" t="str">
        <f t="shared" ref="A273" si="221">IF(B273&lt;&gt;"","Remarks Email ","")</f>
        <v xml:space="preserve">Remarks Email </v>
      </c>
      <c r="B273" s="95" t="s">
        <v>173</v>
      </c>
    </row>
    <row r="274" spans="1:2" ht="25.5" x14ac:dyDescent="0.2">
      <c r="A274" s="92" t="str">
        <f t="shared" ref="A274" si="222">IF(B274&lt;&gt;"","Status do booking no Globe","")</f>
        <v>Status do booking no Globe</v>
      </c>
      <c r="B274" s="95" t="s">
        <v>20</v>
      </c>
    </row>
    <row r="275" spans="1:2" ht="25.5" x14ac:dyDescent="0.2">
      <c r="A275" s="92" t="str">
        <f t="shared" ref="A275" si="223">IF(B275&lt;&gt;"","O que fazer no sistema","")</f>
        <v>O que fazer no sistema</v>
      </c>
      <c r="B275" s="95" t="s">
        <v>5</v>
      </c>
    </row>
    <row r="276" spans="1:2" ht="25.5" x14ac:dyDescent="0.2">
      <c r="A276" s="92" t="str">
        <f t="shared" ref="A276" si="224">IF(B276&lt;&gt;"","Ação do Booking Expert","")</f>
        <v>Ação do Booking Expert</v>
      </c>
      <c r="B276" s="95" t="s">
        <v>294</v>
      </c>
    </row>
    <row r="277" spans="1:2" x14ac:dyDescent="0.2">
      <c r="A277" s="94" t="s">
        <v>295</v>
      </c>
      <c r="B277" s="96" t="s">
        <v>294</v>
      </c>
    </row>
    <row r="278" spans="1:2" ht="51" x14ac:dyDescent="0.2">
      <c r="A278" s="92" t="str">
        <f t="shared" ref="A278" si="225">IF(B278&lt;&gt;"","Remarks Globe","")</f>
        <v>Remarks Globe</v>
      </c>
      <c r="B278" s="95" t="s">
        <v>174</v>
      </c>
    </row>
    <row r="279" spans="1:2" ht="51" x14ac:dyDescent="0.2">
      <c r="A279" s="92" t="str">
        <f t="shared" ref="A279" si="226">IF(B279&lt;&gt;"","Remarks Email ","")</f>
        <v xml:space="preserve">Remarks Email </v>
      </c>
      <c r="B279" s="95" t="s">
        <v>175</v>
      </c>
    </row>
    <row r="280" spans="1:2" ht="25.5" x14ac:dyDescent="0.2">
      <c r="A280" s="92" t="str">
        <f t="shared" ref="A280" si="227">IF(B280&lt;&gt;"","Status do booking no Globe","")</f>
        <v>Status do booking no Globe</v>
      </c>
      <c r="B280" s="95" t="s">
        <v>17</v>
      </c>
    </row>
    <row r="281" spans="1:2" ht="25.5" x14ac:dyDescent="0.2">
      <c r="A281" s="92" t="str">
        <f t="shared" ref="A281" si="228">IF(B281&lt;&gt;"","O que fazer no sistema","")</f>
        <v>O que fazer no sistema</v>
      </c>
      <c r="B281" s="95" t="s">
        <v>18</v>
      </c>
    </row>
    <row r="282" spans="1:2" ht="25.5" x14ac:dyDescent="0.2">
      <c r="A282" s="92" t="str">
        <f t="shared" ref="A282" si="229">IF(B282&lt;&gt;"","Ação do Booking Expert","")</f>
        <v>Ação do Booking Expert</v>
      </c>
      <c r="B282" s="95" t="s">
        <v>294</v>
      </c>
    </row>
    <row r="283" spans="1:2" x14ac:dyDescent="0.2">
      <c r="A283" s="94" t="s">
        <v>295</v>
      </c>
      <c r="B283" s="96" t="s">
        <v>294</v>
      </c>
    </row>
    <row r="284" spans="1:2" ht="38.25" x14ac:dyDescent="0.2">
      <c r="A284" s="92" t="str">
        <f t="shared" ref="A284" si="230">IF(B284&lt;&gt;"","Remarks Globe","")</f>
        <v>Remarks Globe</v>
      </c>
      <c r="B284" s="95" t="s">
        <v>202</v>
      </c>
    </row>
    <row r="285" spans="1:2" ht="38.25" x14ac:dyDescent="0.2">
      <c r="A285" s="92" t="str">
        <f t="shared" ref="A285" si="231">IF(B285&lt;&gt;"","Remarks Email ","")</f>
        <v xml:space="preserve">Remarks Email </v>
      </c>
      <c r="B285" s="95" t="s">
        <v>203</v>
      </c>
    </row>
    <row r="286" spans="1:2" ht="25.5" x14ac:dyDescent="0.2">
      <c r="A286" s="92" t="str">
        <f t="shared" ref="A286" si="232">IF(B286&lt;&gt;"","Status do booking no Globe","")</f>
        <v>Status do booking no Globe</v>
      </c>
      <c r="B286" s="95" t="s">
        <v>4</v>
      </c>
    </row>
    <row r="287" spans="1:2" ht="25.5" x14ac:dyDescent="0.2">
      <c r="A287" s="92" t="str">
        <f t="shared" ref="A287" si="233">IF(B287&lt;&gt;"","O que fazer no sistema","")</f>
        <v>O que fazer no sistema</v>
      </c>
      <c r="B287" s="95" t="s">
        <v>294</v>
      </c>
    </row>
    <row r="288" spans="1:2" ht="25.5" x14ac:dyDescent="0.2">
      <c r="A288" s="92" t="str">
        <f t="shared" ref="A288" si="234">IF(B288&lt;&gt;"","Ação do Booking Expert","")</f>
        <v>Ação do Booking Expert</v>
      </c>
      <c r="B288" s="95" t="s">
        <v>294</v>
      </c>
    </row>
    <row r="289" spans="1:2" x14ac:dyDescent="0.2">
      <c r="A289" s="94" t="s">
        <v>295</v>
      </c>
      <c r="B289" s="96" t="s">
        <v>294</v>
      </c>
    </row>
    <row r="290" spans="1:2" ht="51" x14ac:dyDescent="0.2">
      <c r="A290" s="92" t="str">
        <f t="shared" ref="A290" si="235">IF(B290&lt;&gt;"","Remarks Globe","")</f>
        <v>Remarks Globe</v>
      </c>
      <c r="B290" s="95" t="s">
        <v>263</v>
      </c>
    </row>
    <row r="291" spans="1:2" ht="51" x14ac:dyDescent="0.2">
      <c r="A291" s="92" t="str">
        <f t="shared" ref="A291" si="236">IF(B291&lt;&gt;"","Remarks Email ","")</f>
        <v xml:space="preserve">Remarks Email </v>
      </c>
      <c r="B291" s="95" t="s">
        <v>264</v>
      </c>
    </row>
    <row r="292" spans="1:2" ht="25.5" x14ac:dyDescent="0.2">
      <c r="A292" s="92" t="str">
        <f t="shared" ref="A292" si="237">IF(B292&lt;&gt;"","Status do booking no Globe","")</f>
        <v>Status do booking no Globe</v>
      </c>
      <c r="B292" s="95" t="s">
        <v>2</v>
      </c>
    </row>
    <row r="293" spans="1:2" ht="25.5" x14ac:dyDescent="0.2">
      <c r="A293" s="92" t="str">
        <f t="shared" ref="A293" si="238">IF(B293&lt;&gt;"","O que fazer no sistema","")</f>
        <v>O que fazer no sistema</v>
      </c>
      <c r="B293" s="95" t="s">
        <v>9</v>
      </c>
    </row>
    <row r="294" spans="1:2" ht="25.5" x14ac:dyDescent="0.2">
      <c r="A294" s="92" t="str">
        <f t="shared" ref="A294" si="239">IF(B294&lt;&gt;"","Ação do Booking Expert","")</f>
        <v>Ação do Booking Expert</v>
      </c>
      <c r="B294" s="95" t="s">
        <v>294</v>
      </c>
    </row>
    <row r="295" spans="1:2" x14ac:dyDescent="0.2">
      <c r="A295" s="94" t="s">
        <v>295</v>
      </c>
      <c r="B295" s="96" t="s">
        <v>294</v>
      </c>
    </row>
    <row r="296" spans="1:2" ht="51" x14ac:dyDescent="0.2">
      <c r="A296" s="92" t="str">
        <f t="shared" ref="A296" si="240">IF(B296&lt;&gt;"","Remarks Globe","")</f>
        <v>Remarks Globe</v>
      </c>
      <c r="B296" s="95" t="s">
        <v>265</v>
      </c>
    </row>
    <row r="297" spans="1:2" ht="51" x14ac:dyDescent="0.2">
      <c r="A297" s="92" t="str">
        <f t="shared" ref="A297" si="241">IF(B297&lt;&gt;"","Remarks Email ","")</f>
        <v xml:space="preserve">Remarks Email </v>
      </c>
      <c r="B297" s="95" t="s">
        <v>266</v>
      </c>
    </row>
    <row r="298" spans="1:2" ht="25.5" x14ac:dyDescent="0.2">
      <c r="A298" s="92" t="str">
        <f t="shared" ref="A298" si="242">IF(B298&lt;&gt;"","Status do booking no Globe","")</f>
        <v>Status do booking no Globe</v>
      </c>
      <c r="B298" s="95" t="s">
        <v>8</v>
      </c>
    </row>
    <row r="299" spans="1:2" ht="25.5" x14ac:dyDescent="0.2">
      <c r="A299" s="92" t="str">
        <f t="shared" ref="A299" si="243">IF(B299&lt;&gt;"","O que fazer no sistema","")</f>
        <v>O que fazer no sistema</v>
      </c>
      <c r="B299" s="95" t="s">
        <v>9</v>
      </c>
    </row>
    <row r="300" spans="1:2" ht="25.5" x14ac:dyDescent="0.2">
      <c r="A300" s="92" t="str">
        <f t="shared" ref="A300" si="244">IF(B300&lt;&gt;"","Ação do Booking Expert","")</f>
        <v>Ação do Booking Expert</v>
      </c>
      <c r="B300" s="95" t="s">
        <v>294</v>
      </c>
    </row>
    <row r="301" spans="1:2" x14ac:dyDescent="0.2">
      <c r="A301" s="94" t="s">
        <v>295</v>
      </c>
      <c r="B301" s="96" t="s">
        <v>294</v>
      </c>
    </row>
    <row r="302" spans="1:2" ht="63.75" x14ac:dyDescent="0.2">
      <c r="A302" s="92" t="str">
        <f t="shared" ref="A302:A362" si="245">IF(B302&lt;&gt;"","Remarks Globe","")</f>
        <v>Remarks Globe</v>
      </c>
      <c r="B302" s="95" t="s">
        <v>303</v>
      </c>
    </row>
    <row r="303" spans="1:2" ht="76.5" x14ac:dyDescent="0.2">
      <c r="A303" s="92" t="str">
        <f t="shared" ref="A303:A363" si="246">IF(B303&lt;&gt;"","Remarks Email ","")</f>
        <v xml:space="preserve">Remarks Email </v>
      </c>
      <c r="B303" s="95" t="s">
        <v>307</v>
      </c>
    </row>
    <row r="304" spans="1:2" ht="25.5" x14ac:dyDescent="0.2">
      <c r="A304" s="92" t="str">
        <f t="shared" ref="A304:A364" si="247">IF(B304&lt;&gt;"","Status do booking no Globe","")</f>
        <v>Status do booking no Globe</v>
      </c>
      <c r="B304" s="95" t="s">
        <v>4</v>
      </c>
    </row>
    <row r="305" spans="1:2" ht="25.5" x14ac:dyDescent="0.2">
      <c r="A305" s="92" t="str">
        <f t="shared" ref="A305:A365" si="248">IF(B305&lt;&gt;"","O que fazer no sistema","")</f>
        <v>O que fazer no sistema</v>
      </c>
      <c r="B305" s="95" t="s">
        <v>5</v>
      </c>
    </row>
    <row r="306" spans="1:2" ht="25.5" x14ac:dyDescent="0.2">
      <c r="A306" s="92" t="str">
        <f t="shared" ref="A306:A366" si="249">IF(B306&lt;&gt;"","Ação do Booking Expert","")</f>
        <v>Ação do Booking Expert</v>
      </c>
      <c r="B306" s="95" t="s">
        <v>294</v>
      </c>
    </row>
    <row r="307" spans="1:2" x14ac:dyDescent="0.2">
      <c r="A307" s="94" t="s">
        <v>295</v>
      </c>
      <c r="B307" s="96" t="s">
        <v>294</v>
      </c>
    </row>
    <row r="308" spans="1:2" ht="76.5" x14ac:dyDescent="0.2">
      <c r="A308" s="92" t="str">
        <f t="shared" si="245"/>
        <v>Remarks Globe</v>
      </c>
      <c r="B308" s="95" t="s">
        <v>309</v>
      </c>
    </row>
    <row r="309" spans="1:2" ht="76.5" x14ac:dyDescent="0.2">
      <c r="A309" s="92" t="str">
        <f t="shared" si="246"/>
        <v xml:space="preserve">Remarks Email </v>
      </c>
      <c r="B309" s="95" t="s">
        <v>304</v>
      </c>
    </row>
    <row r="310" spans="1:2" ht="25.5" x14ac:dyDescent="0.2">
      <c r="A310" s="92" t="str">
        <f t="shared" si="247"/>
        <v>Status do booking no Globe</v>
      </c>
      <c r="B310" s="95" t="s">
        <v>4</v>
      </c>
    </row>
    <row r="311" spans="1:2" ht="25.5" x14ac:dyDescent="0.2">
      <c r="A311" s="92" t="str">
        <f t="shared" si="248"/>
        <v>O que fazer no sistema</v>
      </c>
      <c r="B311" s="95" t="s">
        <v>5</v>
      </c>
    </row>
    <row r="312" spans="1:2" ht="25.5" x14ac:dyDescent="0.2">
      <c r="A312" s="92" t="str">
        <f t="shared" si="249"/>
        <v>Ação do Booking Expert</v>
      </c>
      <c r="B312" s="95" t="s">
        <v>294</v>
      </c>
    </row>
    <row r="313" spans="1:2" x14ac:dyDescent="0.2">
      <c r="A313" s="94" t="s">
        <v>295</v>
      </c>
      <c r="B313" s="96" t="s">
        <v>294</v>
      </c>
    </row>
    <row r="314" spans="1:2" ht="63.75" x14ac:dyDescent="0.2">
      <c r="A314" s="92" t="str">
        <f t="shared" si="245"/>
        <v>Remarks Globe</v>
      </c>
      <c r="B314" s="95" t="s">
        <v>310</v>
      </c>
    </row>
    <row r="315" spans="1:2" ht="63.75" x14ac:dyDescent="0.2">
      <c r="A315" s="92" t="str">
        <f t="shared" si="246"/>
        <v xml:space="preserve">Remarks Email </v>
      </c>
      <c r="B315" s="95" t="s">
        <v>308</v>
      </c>
    </row>
    <row r="316" spans="1:2" ht="25.5" x14ac:dyDescent="0.2">
      <c r="A316" s="92" t="str">
        <f t="shared" si="247"/>
        <v>Status do booking no Globe</v>
      </c>
      <c r="B316" s="95" t="s">
        <v>20</v>
      </c>
    </row>
    <row r="317" spans="1:2" ht="25.5" x14ac:dyDescent="0.2">
      <c r="A317" s="92" t="str">
        <f t="shared" si="248"/>
        <v>O que fazer no sistema</v>
      </c>
      <c r="B317" s="95" t="s">
        <v>5</v>
      </c>
    </row>
    <row r="318" spans="1:2" ht="25.5" x14ac:dyDescent="0.2">
      <c r="A318" s="92" t="str">
        <f t="shared" si="249"/>
        <v>Ação do Booking Expert</v>
      </c>
      <c r="B318" s="95" t="s">
        <v>294</v>
      </c>
    </row>
    <row r="319" spans="1:2" x14ac:dyDescent="0.2">
      <c r="A319" s="94" t="s">
        <v>295</v>
      </c>
      <c r="B319" s="96" t="s">
        <v>294</v>
      </c>
    </row>
    <row r="320" spans="1:2" ht="76.5" x14ac:dyDescent="0.2">
      <c r="A320" s="92" t="str">
        <f t="shared" si="245"/>
        <v>Remarks Globe</v>
      </c>
      <c r="B320" s="95" t="s">
        <v>306</v>
      </c>
    </row>
    <row r="321" spans="1:2" ht="76.5" x14ac:dyDescent="0.2">
      <c r="A321" s="92" t="str">
        <f t="shared" si="246"/>
        <v xml:space="preserve">Remarks Email </v>
      </c>
      <c r="B321" s="95" t="s">
        <v>305</v>
      </c>
    </row>
    <row r="322" spans="1:2" ht="25.5" x14ac:dyDescent="0.2">
      <c r="A322" s="92" t="str">
        <f t="shared" si="247"/>
        <v>Status do booking no Globe</v>
      </c>
      <c r="B322" s="95" t="s">
        <v>20</v>
      </c>
    </row>
    <row r="323" spans="1:2" ht="25.5" x14ac:dyDescent="0.2">
      <c r="A323" s="92" t="str">
        <f t="shared" si="248"/>
        <v>O que fazer no sistema</v>
      </c>
      <c r="B323" s="95" t="s">
        <v>5</v>
      </c>
    </row>
    <row r="324" spans="1:2" ht="25.5" x14ac:dyDescent="0.2">
      <c r="A324" s="92" t="str">
        <f t="shared" si="249"/>
        <v>Ação do Booking Expert</v>
      </c>
      <c r="B324" s="95" t="s">
        <v>294</v>
      </c>
    </row>
    <row r="325" spans="1:2" x14ac:dyDescent="0.2">
      <c r="A325" s="94" t="s">
        <v>295</v>
      </c>
      <c r="B325" s="96" t="s">
        <v>294</v>
      </c>
    </row>
    <row r="326" spans="1:2" ht="51" x14ac:dyDescent="0.2">
      <c r="A326" s="92" t="str">
        <f t="shared" si="245"/>
        <v>Remarks Globe</v>
      </c>
      <c r="B326" s="95" t="s">
        <v>317</v>
      </c>
    </row>
    <row r="327" spans="1:2" ht="51" x14ac:dyDescent="0.2">
      <c r="A327" s="92" t="str">
        <f t="shared" si="246"/>
        <v xml:space="preserve">Remarks Email </v>
      </c>
      <c r="B327" s="95" t="s">
        <v>318</v>
      </c>
    </row>
    <row r="328" spans="1:2" ht="25.5" x14ac:dyDescent="0.2">
      <c r="A328" s="92" t="str">
        <f t="shared" si="247"/>
        <v>Status do booking no Globe</v>
      </c>
      <c r="B328" s="95" t="s">
        <v>2</v>
      </c>
    </row>
    <row r="329" spans="1:2" ht="25.5" x14ac:dyDescent="0.2">
      <c r="A329" s="92" t="str">
        <f t="shared" si="248"/>
        <v>O que fazer no sistema</v>
      </c>
      <c r="B329" s="95" t="s">
        <v>3</v>
      </c>
    </row>
    <row r="330" spans="1:2" ht="25.5" x14ac:dyDescent="0.2">
      <c r="A330" s="92" t="str">
        <f t="shared" si="249"/>
        <v>Ação do Booking Expert</v>
      </c>
      <c r="B330" s="95" t="s">
        <v>294</v>
      </c>
    </row>
    <row r="331" spans="1:2" x14ac:dyDescent="0.2">
      <c r="A331" s="94" t="s">
        <v>295</v>
      </c>
      <c r="B331" s="96" t="s">
        <v>294</v>
      </c>
    </row>
    <row r="332" spans="1:2" x14ac:dyDescent="0.2">
      <c r="A332" s="92" t="str">
        <f t="shared" si="245"/>
        <v>Remarks Globe</v>
      </c>
      <c r="B332" s="95" t="s">
        <v>296</v>
      </c>
    </row>
    <row r="333" spans="1:2" x14ac:dyDescent="0.2">
      <c r="A333" s="92" t="str">
        <f t="shared" si="246"/>
        <v xml:space="preserve">Remarks Email </v>
      </c>
      <c r="B333" s="95" t="s">
        <v>296</v>
      </c>
    </row>
    <row r="334" spans="1:2" ht="25.5" x14ac:dyDescent="0.2">
      <c r="A334" s="92" t="str">
        <f t="shared" si="247"/>
        <v>Status do booking no Globe</v>
      </c>
      <c r="B334" s="95" t="s">
        <v>296</v>
      </c>
    </row>
    <row r="335" spans="1:2" ht="25.5" x14ac:dyDescent="0.2">
      <c r="A335" s="92" t="str">
        <f t="shared" si="248"/>
        <v>O que fazer no sistema</v>
      </c>
      <c r="B335" s="95" t="s">
        <v>296</v>
      </c>
    </row>
    <row r="336" spans="1:2" ht="25.5" x14ac:dyDescent="0.2">
      <c r="A336" s="92" t="str">
        <f t="shared" si="249"/>
        <v>Ação do Booking Expert</v>
      </c>
      <c r="B336" s="95" t="s">
        <v>296</v>
      </c>
    </row>
    <row r="337" spans="1:2" x14ac:dyDescent="0.2">
      <c r="A337" s="94" t="s">
        <v>295</v>
      </c>
      <c r="B337" s="95" t="s">
        <v>296</v>
      </c>
    </row>
    <row r="338" spans="1:2" x14ac:dyDescent="0.2">
      <c r="A338" s="92" t="str">
        <f t="shared" si="245"/>
        <v>Remarks Globe</v>
      </c>
      <c r="B338" s="95" t="s">
        <v>296</v>
      </c>
    </row>
    <row r="339" spans="1:2" x14ac:dyDescent="0.2">
      <c r="A339" s="92" t="str">
        <f t="shared" si="246"/>
        <v xml:space="preserve">Remarks Email </v>
      </c>
      <c r="B339" s="95" t="s">
        <v>296</v>
      </c>
    </row>
    <row r="340" spans="1:2" ht="25.5" x14ac:dyDescent="0.2">
      <c r="A340" s="92" t="str">
        <f t="shared" si="247"/>
        <v>Status do booking no Globe</v>
      </c>
      <c r="B340" s="95" t="s">
        <v>296</v>
      </c>
    </row>
    <row r="341" spans="1:2" ht="25.5" x14ac:dyDescent="0.2">
      <c r="A341" s="92" t="str">
        <f t="shared" si="248"/>
        <v>O que fazer no sistema</v>
      </c>
      <c r="B341" s="95" t="s">
        <v>296</v>
      </c>
    </row>
    <row r="342" spans="1:2" ht="25.5" x14ac:dyDescent="0.2">
      <c r="A342" s="92" t="str">
        <f t="shared" si="249"/>
        <v>Ação do Booking Expert</v>
      </c>
      <c r="B342" s="95" t="s">
        <v>296</v>
      </c>
    </row>
    <row r="343" spans="1:2" x14ac:dyDescent="0.2">
      <c r="A343" s="94" t="s">
        <v>295</v>
      </c>
      <c r="B343" s="95" t="s">
        <v>296</v>
      </c>
    </row>
    <row r="344" spans="1:2" x14ac:dyDescent="0.2">
      <c r="A344" s="92" t="str">
        <f t="shared" si="245"/>
        <v>Remarks Globe</v>
      </c>
      <c r="B344" s="95" t="s">
        <v>296</v>
      </c>
    </row>
    <row r="345" spans="1:2" x14ac:dyDescent="0.2">
      <c r="A345" s="92" t="str">
        <f t="shared" si="246"/>
        <v xml:space="preserve">Remarks Email </v>
      </c>
      <c r="B345" s="95" t="s">
        <v>296</v>
      </c>
    </row>
    <row r="346" spans="1:2" ht="25.5" x14ac:dyDescent="0.2">
      <c r="A346" s="92" t="str">
        <f t="shared" si="247"/>
        <v>Status do booking no Globe</v>
      </c>
      <c r="B346" s="95" t="s">
        <v>296</v>
      </c>
    </row>
    <row r="347" spans="1:2" ht="25.5" x14ac:dyDescent="0.2">
      <c r="A347" s="92" t="str">
        <f t="shared" si="248"/>
        <v>O que fazer no sistema</v>
      </c>
      <c r="B347" s="95" t="s">
        <v>296</v>
      </c>
    </row>
    <row r="348" spans="1:2" ht="25.5" x14ac:dyDescent="0.2">
      <c r="A348" s="92" t="str">
        <f t="shared" si="249"/>
        <v>Ação do Booking Expert</v>
      </c>
      <c r="B348" s="95" t="s">
        <v>296</v>
      </c>
    </row>
    <row r="349" spans="1:2" x14ac:dyDescent="0.2">
      <c r="A349" s="94" t="s">
        <v>295</v>
      </c>
      <c r="B349" s="95" t="s">
        <v>296</v>
      </c>
    </row>
    <row r="350" spans="1:2" x14ac:dyDescent="0.2">
      <c r="A350" s="92" t="str">
        <f t="shared" si="245"/>
        <v>Remarks Globe</v>
      </c>
      <c r="B350" s="95" t="s">
        <v>296</v>
      </c>
    </row>
    <row r="351" spans="1:2" x14ac:dyDescent="0.2">
      <c r="A351" s="92" t="str">
        <f t="shared" si="246"/>
        <v xml:space="preserve">Remarks Email </v>
      </c>
      <c r="B351" s="95" t="s">
        <v>296</v>
      </c>
    </row>
    <row r="352" spans="1:2" ht="25.5" x14ac:dyDescent="0.2">
      <c r="A352" s="92" t="str">
        <f t="shared" si="247"/>
        <v>Status do booking no Globe</v>
      </c>
      <c r="B352" s="95" t="s">
        <v>296</v>
      </c>
    </row>
    <row r="353" spans="1:2" ht="25.5" x14ac:dyDescent="0.2">
      <c r="A353" s="92" t="str">
        <f t="shared" si="248"/>
        <v>O que fazer no sistema</v>
      </c>
      <c r="B353" s="95" t="s">
        <v>296</v>
      </c>
    </row>
    <row r="354" spans="1:2" ht="25.5" x14ac:dyDescent="0.2">
      <c r="A354" s="92" t="str">
        <f t="shared" si="249"/>
        <v>Ação do Booking Expert</v>
      </c>
      <c r="B354" s="95" t="s">
        <v>296</v>
      </c>
    </row>
    <row r="355" spans="1:2" x14ac:dyDescent="0.2">
      <c r="A355" s="94" t="s">
        <v>295</v>
      </c>
      <c r="B355" s="95" t="s">
        <v>296</v>
      </c>
    </row>
    <row r="356" spans="1:2" x14ac:dyDescent="0.2">
      <c r="A356" s="92" t="str">
        <f t="shared" si="245"/>
        <v>Remarks Globe</v>
      </c>
      <c r="B356" s="95" t="s">
        <v>296</v>
      </c>
    </row>
    <row r="357" spans="1:2" x14ac:dyDescent="0.2">
      <c r="A357" s="92" t="str">
        <f t="shared" si="246"/>
        <v xml:space="preserve">Remarks Email </v>
      </c>
      <c r="B357" s="95" t="s">
        <v>296</v>
      </c>
    </row>
    <row r="358" spans="1:2" ht="25.5" x14ac:dyDescent="0.2">
      <c r="A358" s="92" t="str">
        <f t="shared" si="247"/>
        <v>Status do booking no Globe</v>
      </c>
      <c r="B358" s="95" t="s">
        <v>296</v>
      </c>
    </row>
    <row r="359" spans="1:2" ht="25.5" x14ac:dyDescent="0.2">
      <c r="A359" s="92" t="str">
        <f t="shared" si="248"/>
        <v>O que fazer no sistema</v>
      </c>
      <c r="B359" s="95" t="s">
        <v>296</v>
      </c>
    </row>
    <row r="360" spans="1:2" ht="25.5" x14ac:dyDescent="0.2">
      <c r="A360" s="92" t="str">
        <f t="shared" si="249"/>
        <v>Ação do Booking Expert</v>
      </c>
      <c r="B360" s="95" t="s">
        <v>296</v>
      </c>
    </row>
    <row r="361" spans="1:2" x14ac:dyDescent="0.2">
      <c r="A361" s="94" t="s">
        <v>295</v>
      </c>
      <c r="B361" s="95" t="s">
        <v>296</v>
      </c>
    </row>
    <row r="362" spans="1:2" x14ac:dyDescent="0.2">
      <c r="A362" s="92" t="str">
        <f t="shared" si="245"/>
        <v>Remarks Globe</v>
      </c>
      <c r="B362" s="95" t="s">
        <v>296</v>
      </c>
    </row>
    <row r="363" spans="1:2" x14ac:dyDescent="0.2">
      <c r="A363" s="92" t="str">
        <f t="shared" si="246"/>
        <v xml:space="preserve">Remarks Email </v>
      </c>
      <c r="B363" s="95" t="s">
        <v>296</v>
      </c>
    </row>
    <row r="364" spans="1:2" ht="25.5" x14ac:dyDescent="0.2">
      <c r="A364" s="92" t="str">
        <f t="shared" si="247"/>
        <v>Status do booking no Globe</v>
      </c>
      <c r="B364" s="95" t="s">
        <v>296</v>
      </c>
    </row>
    <row r="365" spans="1:2" ht="25.5" x14ac:dyDescent="0.2">
      <c r="A365" s="92" t="str">
        <f t="shared" si="248"/>
        <v>O que fazer no sistema</v>
      </c>
      <c r="B365" s="95" t="s">
        <v>296</v>
      </c>
    </row>
    <row r="366" spans="1:2" ht="25.5" x14ac:dyDescent="0.2">
      <c r="A366" s="92" t="str">
        <f t="shared" si="249"/>
        <v>Ação do Booking Expert</v>
      </c>
      <c r="B366" s="95" t="s">
        <v>296</v>
      </c>
    </row>
    <row r="367" spans="1:2" x14ac:dyDescent="0.2">
      <c r="A367" s="94" t="s">
        <v>295</v>
      </c>
      <c r="B367" s="95" t="s">
        <v>296</v>
      </c>
    </row>
    <row r="368" spans="1:2" x14ac:dyDescent="0.2">
      <c r="A368" s="92" t="str">
        <f t="shared" ref="A368:A428" si="250">IF(B368&lt;&gt;"","Remarks Globe","")</f>
        <v>Remarks Globe</v>
      </c>
      <c r="B368" s="95" t="s">
        <v>296</v>
      </c>
    </row>
    <row r="369" spans="1:2" x14ac:dyDescent="0.2">
      <c r="A369" s="92" t="str">
        <f t="shared" ref="A369:A429" si="251">IF(B369&lt;&gt;"","Remarks Email ","")</f>
        <v xml:space="preserve">Remarks Email </v>
      </c>
      <c r="B369" s="95" t="s">
        <v>296</v>
      </c>
    </row>
    <row r="370" spans="1:2" ht="25.5" x14ac:dyDescent="0.2">
      <c r="A370" s="92" t="str">
        <f t="shared" ref="A370:A430" si="252">IF(B370&lt;&gt;"","Status do booking no Globe","")</f>
        <v>Status do booking no Globe</v>
      </c>
      <c r="B370" s="95" t="s">
        <v>296</v>
      </c>
    </row>
    <row r="371" spans="1:2" ht="25.5" x14ac:dyDescent="0.2">
      <c r="A371" s="92" t="str">
        <f t="shared" ref="A371:A431" si="253">IF(B371&lt;&gt;"","O que fazer no sistema","")</f>
        <v>O que fazer no sistema</v>
      </c>
      <c r="B371" s="95" t="s">
        <v>296</v>
      </c>
    </row>
    <row r="372" spans="1:2" ht="25.5" x14ac:dyDescent="0.2">
      <c r="A372" s="92" t="str">
        <f t="shared" ref="A372:A432" si="254">IF(B372&lt;&gt;"","Ação do Booking Expert","")</f>
        <v>Ação do Booking Expert</v>
      </c>
      <c r="B372" s="95" t="s">
        <v>296</v>
      </c>
    </row>
    <row r="373" spans="1:2" x14ac:dyDescent="0.2">
      <c r="A373" s="94" t="s">
        <v>295</v>
      </c>
      <c r="B373" s="95" t="s">
        <v>296</v>
      </c>
    </row>
    <row r="374" spans="1:2" x14ac:dyDescent="0.2">
      <c r="A374" s="92" t="str">
        <f t="shared" si="250"/>
        <v>Remarks Globe</v>
      </c>
      <c r="B374" s="95" t="s">
        <v>296</v>
      </c>
    </row>
    <row r="375" spans="1:2" x14ac:dyDescent="0.2">
      <c r="A375" s="92" t="str">
        <f t="shared" si="251"/>
        <v xml:space="preserve">Remarks Email </v>
      </c>
      <c r="B375" s="95" t="s">
        <v>296</v>
      </c>
    </row>
    <row r="376" spans="1:2" ht="25.5" x14ac:dyDescent="0.2">
      <c r="A376" s="92" t="str">
        <f t="shared" si="252"/>
        <v>Status do booking no Globe</v>
      </c>
      <c r="B376" s="95" t="s">
        <v>296</v>
      </c>
    </row>
    <row r="377" spans="1:2" ht="25.5" x14ac:dyDescent="0.2">
      <c r="A377" s="92" t="str">
        <f t="shared" si="253"/>
        <v>O que fazer no sistema</v>
      </c>
      <c r="B377" s="95" t="s">
        <v>296</v>
      </c>
    </row>
    <row r="378" spans="1:2" ht="25.5" x14ac:dyDescent="0.2">
      <c r="A378" s="92" t="str">
        <f t="shared" si="254"/>
        <v>Ação do Booking Expert</v>
      </c>
      <c r="B378" s="95" t="s">
        <v>296</v>
      </c>
    </row>
    <row r="379" spans="1:2" x14ac:dyDescent="0.2">
      <c r="A379" s="94" t="s">
        <v>295</v>
      </c>
      <c r="B379" s="95" t="s">
        <v>296</v>
      </c>
    </row>
    <row r="380" spans="1:2" x14ac:dyDescent="0.2">
      <c r="A380" s="92" t="str">
        <f t="shared" si="250"/>
        <v>Remarks Globe</v>
      </c>
      <c r="B380" s="95" t="s">
        <v>296</v>
      </c>
    </row>
    <row r="381" spans="1:2" x14ac:dyDescent="0.2">
      <c r="A381" s="92" t="str">
        <f t="shared" si="251"/>
        <v xml:space="preserve">Remarks Email </v>
      </c>
      <c r="B381" s="95" t="s">
        <v>296</v>
      </c>
    </row>
    <row r="382" spans="1:2" ht="25.5" x14ac:dyDescent="0.2">
      <c r="A382" s="92" t="str">
        <f t="shared" si="252"/>
        <v>Status do booking no Globe</v>
      </c>
      <c r="B382" s="95" t="s">
        <v>296</v>
      </c>
    </row>
    <row r="383" spans="1:2" ht="25.5" x14ac:dyDescent="0.2">
      <c r="A383" s="92" t="str">
        <f t="shared" si="253"/>
        <v>O que fazer no sistema</v>
      </c>
      <c r="B383" s="95" t="s">
        <v>296</v>
      </c>
    </row>
    <row r="384" spans="1:2" ht="25.5" x14ac:dyDescent="0.2">
      <c r="A384" s="92" t="str">
        <f t="shared" si="254"/>
        <v>Ação do Booking Expert</v>
      </c>
      <c r="B384" s="95" t="s">
        <v>296</v>
      </c>
    </row>
    <row r="385" spans="1:2" x14ac:dyDescent="0.2">
      <c r="A385" s="94" t="s">
        <v>295</v>
      </c>
      <c r="B385" s="95" t="s">
        <v>296</v>
      </c>
    </row>
    <row r="386" spans="1:2" x14ac:dyDescent="0.2">
      <c r="A386" s="92" t="str">
        <f t="shared" si="250"/>
        <v>Remarks Globe</v>
      </c>
      <c r="B386" s="95" t="s">
        <v>296</v>
      </c>
    </row>
    <row r="387" spans="1:2" x14ac:dyDescent="0.2">
      <c r="A387" s="92" t="str">
        <f t="shared" si="251"/>
        <v xml:space="preserve">Remarks Email </v>
      </c>
      <c r="B387" s="95" t="s">
        <v>296</v>
      </c>
    </row>
    <row r="388" spans="1:2" ht="25.5" x14ac:dyDescent="0.2">
      <c r="A388" s="92" t="str">
        <f t="shared" si="252"/>
        <v>Status do booking no Globe</v>
      </c>
      <c r="B388" s="95" t="s">
        <v>296</v>
      </c>
    </row>
    <row r="389" spans="1:2" ht="25.5" x14ac:dyDescent="0.2">
      <c r="A389" s="92" t="str">
        <f t="shared" si="253"/>
        <v>O que fazer no sistema</v>
      </c>
      <c r="B389" s="95" t="s">
        <v>296</v>
      </c>
    </row>
    <row r="390" spans="1:2" ht="25.5" x14ac:dyDescent="0.2">
      <c r="A390" s="92" t="str">
        <f t="shared" si="254"/>
        <v>Ação do Booking Expert</v>
      </c>
      <c r="B390" s="95" t="s">
        <v>296</v>
      </c>
    </row>
    <row r="391" spans="1:2" x14ac:dyDescent="0.2">
      <c r="A391" s="94" t="s">
        <v>295</v>
      </c>
      <c r="B391" s="95" t="s">
        <v>296</v>
      </c>
    </row>
    <row r="392" spans="1:2" x14ac:dyDescent="0.2">
      <c r="A392" s="92" t="str">
        <f t="shared" si="250"/>
        <v>Remarks Globe</v>
      </c>
      <c r="B392" s="95" t="s">
        <v>296</v>
      </c>
    </row>
    <row r="393" spans="1:2" x14ac:dyDescent="0.2">
      <c r="A393" s="92" t="str">
        <f t="shared" si="251"/>
        <v xml:space="preserve">Remarks Email </v>
      </c>
      <c r="B393" s="95" t="s">
        <v>296</v>
      </c>
    </row>
    <row r="394" spans="1:2" ht="25.5" x14ac:dyDescent="0.2">
      <c r="A394" s="92" t="str">
        <f t="shared" si="252"/>
        <v>Status do booking no Globe</v>
      </c>
      <c r="B394" s="95" t="s">
        <v>296</v>
      </c>
    </row>
    <row r="395" spans="1:2" ht="25.5" x14ac:dyDescent="0.2">
      <c r="A395" s="92" t="str">
        <f t="shared" si="253"/>
        <v>O que fazer no sistema</v>
      </c>
      <c r="B395" s="95" t="s">
        <v>296</v>
      </c>
    </row>
    <row r="396" spans="1:2" ht="25.5" x14ac:dyDescent="0.2">
      <c r="A396" s="92" t="str">
        <f t="shared" si="254"/>
        <v>Ação do Booking Expert</v>
      </c>
      <c r="B396" s="95" t="s">
        <v>296</v>
      </c>
    </row>
    <row r="397" spans="1:2" x14ac:dyDescent="0.2">
      <c r="A397" s="94" t="s">
        <v>295</v>
      </c>
      <c r="B397" s="95" t="s">
        <v>296</v>
      </c>
    </row>
    <row r="398" spans="1:2" x14ac:dyDescent="0.2">
      <c r="A398" s="92" t="str">
        <f t="shared" si="250"/>
        <v>Remarks Globe</v>
      </c>
      <c r="B398" s="95" t="s">
        <v>296</v>
      </c>
    </row>
    <row r="399" spans="1:2" x14ac:dyDescent="0.2">
      <c r="A399" s="92" t="str">
        <f t="shared" si="251"/>
        <v xml:space="preserve">Remarks Email </v>
      </c>
      <c r="B399" s="95" t="s">
        <v>296</v>
      </c>
    </row>
    <row r="400" spans="1:2" ht="25.5" x14ac:dyDescent="0.2">
      <c r="A400" s="92" t="str">
        <f t="shared" si="252"/>
        <v>Status do booking no Globe</v>
      </c>
      <c r="B400" s="95" t="s">
        <v>296</v>
      </c>
    </row>
    <row r="401" spans="1:2" ht="25.5" x14ac:dyDescent="0.2">
      <c r="A401" s="92" t="str">
        <f t="shared" si="253"/>
        <v>O que fazer no sistema</v>
      </c>
      <c r="B401" s="95" t="s">
        <v>296</v>
      </c>
    </row>
    <row r="402" spans="1:2" ht="25.5" x14ac:dyDescent="0.2">
      <c r="A402" s="92" t="str">
        <f t="shared" si="254"/>
        <v>Ação do Booking Expert</v>
      </c>
      <c r="B402" s="95" t="s">
        <v>296</v>
      </c>
    </row>
    <row r="403" spans="1:2" x14ac:dyDescent="0.2">
      <c r="A403" s="94" t="s">
        <v>295</v>
      </c>
      <c r="B403" s="95" t="s">
        <v>296</v>
      </c>
    </row>
    <row r="404" spans="1:2" x14ac:dyDescent="0.2">
      <c r="A404" s="92" t="str">
        <f t="shared" si="250"/>
        <v>Remarks Globe</v>
      </c>
      <c r="B404" s="95" t="s">
        <v>296</v>
      </c>
    </row>
    <row r="405" spans="1:2" x14ac:dyDescent="0.2">
      <c r="A405" s="92" t="str">
        <f t="shared" si="251"/>
        <v xml:space="preserve">Remarks Email </v>
      </c>
      <c r="B405" s="95" t="s">
        <v>296</v>
      </c>
    </row>
    <row r="406" spans="1:2" ht="25.5" x14ac:dyDescent="0.2">
      <c r="A406" s="92" t="str">
        <f t="shared" si="252"/>
        <v>Status do booking no Globe</v>
      </c>
      <c r="B406" s="95" t="s">
        <v>296</v>
      </c>
    </row>
    <row r="407" spans="1:2" ht="25.5" x14ac:dyDescent="0.2">
      <c r="A407" s="92" t="str">
        <f t="shared" si="253"/>
        <v>O que fazer no sistema</v>
      </c>
      <c r="B407" s="95" t="s">
        <v>296</v>
      </c>
    </row>
    <row r="408" spans="1:2" ht="25.5" x14ac:dyDescent="0.2">
      <c r="A408" s="92" t="str">
        <f t="shared" si="254"/>
        <v>Ação do Booking Expert</v>
      </c>
      <c r="B408" s="95" t="s">
        <v>296</v>
      </c>
    </row>
    <row r="409" spans="1:2" x14ac:dyDescent="0.2">
      <c r="A409" s="94" t="s">
        <v>295</v>
      </c>
      <c r="B409" s="95" t="s">
        <v>296</v>
      </c>
    </row>
    <row r="410" spans="1:2" x14ac:dyDescent="0.2">
      <c r="A410" s="92" t="str">
        <f t="shared" si="250"/>
        <v>Remarks Globe</v>
      </c>
      <c r="B410" s="95" t="s">
        <v>296</v>
      </c>
    </row>
    <row r="411" spans="1:2" x14ac:dyDescent="0.2">
      <c r="A411" s="92" t="str">
        <f t="shared" si="251"/>
        <v xml:space="preserve">Remarks Email </v>
      </c>
      <c r="B411" s="95" t="s">
        <v>296</v>
      </c>
    </row>
    <row r="412" spans="1:2" ht="25.5" x14ac:dyDescent="0.2">
      <c r="A412" s="92" t="str">
        <f t="shared" si="252"/>
        <v>Status do booking no Globe</v>
      </c>
      <c r="B412" s="95" t="s">
        <v>296</v>
      </c>
    </row>
    <row r="413" spans="1:2" ht="25.5" x14ac:dyDescent="0.2">
      <c r="A413" s="92" t="str">
        <f t="shared" si="253"/>
        <v>O que fazer no sistema</v>
      </c>
      <c r="B413" s="95" t="s">
        <v>296</v>
      </c>
    </row>
    <row r="414" spans="1:2" ht="25.5" x14ac:dyDescent="0.2">
      <c r="A414" s="92" t="str">
        <f t="shared" si="254"/>
        <v>Ação do Booking Expert</v>
      </c>
      <c r="B414" s="95" t="s">
        <v>296</v>
      </c>
    </row>
    <row r="415" spans="1:2" x14ac:dyDescent="0.2">
      <c r="A415" s="94" t="s">
        <v>295</v>
      </c>
      <c r="B415" s="95" t="s">
        <v>296</v>
      </c>
    </row>
    <row r="416" spans="1:2" x14ac:dyDescent="0.2">
      <c r="A416" s="92" t="str">
        <f t="shared" si="250"/>
        <v>Remarks Globe</v>
      </c>
      <c r="B416" s="95" t="s">
        <v>296</v>
      </c>
    </row>
    <row r="417" spans="1:2" x14ac:dyDescent="0.2">
      <c r="A417" s="92" t="str">
        <f t="shared" si="251"/>
        <v xml:space="preserve">Remarks Email </v>
      </c>
      <c r="B417" s="95" t="s">
        <v>296</v>
      </c>
    </row>
    <row r="418" spans="1:2" ht="25.5" x14ac:dyDescent="0.2">
      <c r="A418" s="92" t="str">
        <f t="shared" si="252"/>
        <v>Status do booking no Globe</v>
      </c>
      <c r="B418" s="95" t="s">
        <v>296</v>
      </c>
    </row>
    <row r="419" spans="1:2" ht="25.5" x14ac:dyDescent="0.2">
      <c r="A419" s="92" t="str">
        <f t="shared" si="253"/>
        <v>O que fazer no sistema</v>
      </c>
      <c r="B419" s="95" t="s">
        <v>296</v>
      </c>
    </row>
    <row r="420" spans="1:2" ht="25.5" x14ac:dyDescent="0.2">
      <c r="A420" s="92" t="str">
        <f t="shared" si="254"/>
        <v>Ação do Booking Expert</v>
      </c>
      <c r="B420" s="95" t="s">
        <v>296</v>
      </c>
    </row>
    <row r="421" spans="1:2" x14ac:dyDescent="0.2">
      <c r="A421" s="94" t="s">
        <v>295</v>
      </c>
      <c r="B421" s="95" t="s">
        <v>296</v>
      </c>
    </row>
    <row r="422" spans="1:2" x14ac:dyDescent="0.2">
      <c r="A422" s="92" t="str">
        <f t="shared" si="250"/>
        <v>Remarks Globe</v>
      </c>
      <c r="B422" s="95" t="s">
        <v>296</v>
      </c>
    </row>
    <row r="423" spans="1:2" x14ac:dyDescent="0.2">
      <c r="A423" s="92" t="str">
        <f t="shared" si="251"/>
        <v xml:space="preserve">Remarks Email </v>
      </c>
      <c r="B423" s="95" t="s">
        <v>296</v>
      </c>
    </row>
    <row r="424" spans="1:2" ht="25.5" x14ac:dyDescent="0.2">
      <c r="A424" s="92" t="str">
        <f t="shared" si="252"/>
        <v>Status do booking no Globe</v>
      </c>
      <c r="B424" s="95" t="s">
        <v>296</v>
      </c>
    </row>
    <row r="425" spans="1:2" ht="25.5" x14ac:dyDescent="0.2">
      <c r="A425" s="92" t="str">
        <f t="shared" si="253"/>
        <v>O que fazer no sistema</v>
      </c>
      <c r="B425" s="95" t="s">
        <v>296</v>
      </c>
    </row>
    <row r="426" spans="1:2" ht="25.5" x14ac:dyDescent="0.2">
      <c r="A426" s="92" t="str">
        <f t="shared" si="254"/>
        <v>Ação do Booking Expert</v>
      </c>
      <c r="B426" s="95" t="s">
        <v>296</v>
      </c>
    </row>
    <row r="427" spans="1:2" x14ac:dyDescent="0.2">
      <c r="A427" s="94" t="s">
        <v>295</v>
      </c>
      <c r="B427" s="95" t="s">
        <v>296</v>
      </c>
    </row>
    <row r="428" spans="1:2" x14ac:dyDescent="0.2">
      <c r="A428" s="92" t="str">
        <f t="shared" si="250"/>
        <v>Remarks Globe</v>
      </c>
      <c r="B428" s="95" t="s">
        <v>296</v>
      </c>
    </row>
    <row r="429" spans="1:2" x14ac:dyDescent="0.2">
      <c r="A429" s="92" t="str">
        <f t="shared" si="251"/>
        <v xml:space="preserve">Remarks Email </v>
      </c>
      <c r="B429" s="95" t="s">
        <v>296</v>
      </c>
    </row>
    <row r="430" spans="1:2" ht="25.5" x14ac:dyDescent="0.2">
      <c r="A430" s="92" t="str">
        <f t="shared" si="252"/>
        <v>Status do booking no Globe</v>
      </c>
      <c r="B430" s="95" t="s">
        <v>296</v>
      </c>
    </row>
    <row r="431" spans="1:2" ht="25.5" x14ac:dyDescent="0.2">
      <c r="A431" s="92" t="str">
        <f t="shared" si="253"/>
        <v>O que fazer no sistema</v>
      </c>
      <c r="B431" s="95" t="s">
        <v>296</v>
      </c>
    </row>
    <row r="432" spans="1:2" ht="25.5" x14ac:dyDescent="0.2">
      <c r="A432" s="92" t="str">
        <f t="shared" si="254"/>
        <v>Ação do Booking Expert</v>
      </c>
      <c r="B432" s="95" t="s">
        <v>296</v>
      </c>
    </row>
    <row r="433" spans="1:2" x14ac:dyDescent="0.2">
      <c r="A433" s="94" t="s">
        <v>295</v>
      </c>
      <c r="B433" s="95" t="s">
        <v>296</v>
      </c>
    </row>
    <row r="434" spans="1:2" x14ac:dyDescent="0.2">
      <c r="A434" s="92" t="str">
        <f t="shared" ref="A434:A494" si="255">IF(B434&lt;&gt;"","Remarks Globe","")</f>
        <v>Remarks Globe</v>
      </c>
      <c r="B434" s="95" t="s">
        <v>296</v>
      </c>
    </row>
    <row r="435" spans="1:2" x14ac:dyDescent="0.2">
      <c r="A435" s="92" t="str">
        <f t="shared" ref="A435:A495" si="256">IF(B435&lt;&gt;"","Remarks Email ","")</f>
        <v xml:space="preserve">Remarks Email </v>
      </c>
      <c r="B435" s="95" t="s">
        <v>296</v>
      </c>
    </row>
    <row r="436" spans="1:2" ht="25.5" x14ac:dyDescent="0.2">
      <c r="A436" s="92" t="str">
        <f t="shared" ref="A436:A496" si="257">IF(B436&lt;&gt;"","Status do booking no Globe","")</f>
        <v>Status do booking no Globe</v>
      </c>
      <c r="B436" s="95" t="s">
        <v>296</v>
      </c>
    </row>
    <row r="437" spans="1:2" ht="25.5" x14ac:dyDescent="0.2">
      <c r="A437" s="92" t="str">
        <f t="shared" ref="A437:A497" si="258">IF(B437&lt;&gt;"","O que fazer no sistema","")</f>
        <v>O que fazer no sistema</v>
      </c>
      <c r="B437" s="95" t="s">
        <v>296</v>
      </c>
    </row>
    <row r="438" spans="1:2" ht="25.5" x14ac:dyDescent="0.2">
      <c r="A438" s="92" t="str">
        <f t="shared" ref="A438:A498" si="259">IF(B438&lt;&gt;"","Ação do Booking Expert","")</f>
        <v>Ação do Booking Expert</v>
      </c>
      <c r="B438" s="95" t="s">
        <v>296</v>
      </c>
    </row>
    <row r="439" spans="1:2" x14ac:dyDescent="0.2">
      <c r="A439" s="94" t="s">
        <v>295</v>
      </c>
      <c r="B439" s="95" t="s">
        <v>296</v>
      </c>
    </row>
    <row r="440" spans="1:2" x14ac:dyDescent="0.2">
      <c r="A440" s="92" t="str">
        <f t="shared" si="255"/>
        <v>Remarks Globe</v>
      </c>
      <c r="B440" s="95" t="s">
        <v>296</v>
      </c>
    </row>
    <row r="441" spans="1:2" x14ac:dyDescent="0.2">
      <c r="A441" s="92" t="str">
        <f t="shared" si="256"/>
        <v xml:space="preserve">Remarks Email </v>
      </c>
      <c r="B441" s="95" t="s">
        <v>296</v>
      </c>
    </row>
    <row r="442" spans="1:2" ht="25.5" x14ac:dyDescent="0.2">
      <c r="A442" s="92" t="str">
        <f t="shared" si="257"/>
        <v>Status do booking no Globe</v>
      </c>
      <c r="B442" s="95" t="s">
        <v>296</v>
      </c>
    </row>
    <row r="443" spans="1:2" ht="25.5" x14ac:dyDescent="0.2">
      <c r="A443" s="92" t="str">
        <f t="shared" si="258"/>
        <v>O que fazer no sistema</v>
      </c>
      <c r="B443" s="95" t="s">
        <v>296</v>
      </c>
    </row>
    <row r="444" spans="1:2" ht="25.5" x14ac:dyDescent="0.2">
      <c r="A444" s="92" t="str">
        <f t="shared" si="259"/>
        <v>Ação do Booking Expert</v>
      </c>
      <c r="B444" s="95" t="s">
        <v>296</v>
      </c>
    </row>
    <row r="445" spans="1:2" x14ac:dyDescent="0.2">
      <c r="A445" s="94" t="s">
        <v>295</v>
      </c>
      <c r="B445" s="95" t="s">
        <v>296</v>
      </c>
    </row>
    <row r="446" spans="1:2" x14ac:dyDescent="0.2">
      <c r="A446" s="92" t="str">
        <f t="shared" si="255"/>
        <v>Remarks Globe</v>
      </c>
      <c r="B446" s="95" t="s">
        <v>296</v>
      </c>
    </row>
    <row r="447" spans="1:2" x14ac:dyDescent="0.2">
      <c r="A447" s="92" t="str">
        <f t="shared" si="256"/>
        <v xml:space="preserve">Remarks Email </v>
      </c>
      <c r="B447" s="95" t="s">
        <v>296</v>
      </c>
    </row>
    <row r="448" spans="1:2" ht="25.5" x14ac:dyDescent="0.2">
      <c r="A448" s="92" t="str">
        <f t="shared" si="257"/>
        <v>Status do booking no Globe</v>
      </c>
      <c r="B448" s="95" t="s">
        <v>296</v>
      </c>
    </row>
    <row r="449" spans="1:2" ht="25.5" x14ac:dyDescent="0.2">
      <c r="A449" s="92" t="str">
        <f t="shared" si="258"/>
        <v>O que fazer no sistema</v>
      </c>
      <c r="B449" s="95" t="s">
        <v>296</v>
      </c>
    </row>
    <row r="450" spans="1:2" ht="25.5" x14ac:dyDescent="0.2">
      <c r="A450" s="92" t="str">
        <f t="shared" si="259"/>
        <v>Ação do Booking Expert</v>
      </c>
      <c r="B450" s="95" t="s">
        <v>296</v>
      </c>
    </row>
    <row r="451" spans="1:2" x14ac:dyDescent="0.2">
      <c r="A451" s="94" t="s">
        <v>295</v>
      </c>
      <c r="B451" s="95" t="s">
        <v>296</v>
      </c>
    </row>
    <row r="452" spans="1:2" x14ac:dyDescent="0.2">
      <c r="A452" s="92" t="str">
        <f t="shared" si="255"/>
        <v>Remarks Globe</v>
      </c>
      <c r="B452" s="95" t="s">
        <v>296</v>
      </c>
    </row>
    <row r="453" spans="1:2" x14ac:dyDescent="0.2">
      <c r="A453" s="92" t="str">
        <f t="shared" si="256"/>
        <v xml:space="preserve">Remarks Email </v>
      </c>
      <c r="B453" s="95" t="s">
        <v>296</v>
      </c>
    </row>
    <row r="454" spans="1:2" ht="25.5" x14ac:dyDescent="0.2">
      <c r="A454" s="92" t="str">
        <f t="shared" si="257"/>
        <v>Status do booking no Globe</v>
      </c>
      <c r="B454" s="95" t="s">
        <v>296</v>
      </c>
    </row>
    <row r="455" spans="1:2" ht="25.5" x14ac:dyDescent="0.2">
      <c r="A455" s="92" t="str">
        <f t="shared" si="258"/>
        <v>O que fazer no sistema</v>
      </c>
      <c r="B455" s="95" t="s">
        <v>296</v>
      </c>
    </row>
    <row r="456" spans="1:2" ht="25.5" x14ac:dyDescent="0.2">
      <c r="A456" s="92" t="str">
        <f t="shared" si="259"/>
        <v>Ação do Booking Expert</v>
      </c>
      <c r="B456" s="95" t="s">
        <v>296</v>
      </c>
    </row>
    <row r="457" spans="1:2" x14ac:dyDescent="0.2">
      <c r="A457" s="94" t="s">
        <v>295</v>
      </c>
      <c r="B457" s="95" t="s">
        <v>296</v>
      </c>
    </row>
    <row r="458" spans="1:2" x14ac:dyDescent="0.2">
      <c r="A458" s="92" t="str">
        <f t="shared" si="255"/>
        <v>Remarks Globe</v>
      </c>
      <c r="B458" s="95" t="s">
        <v>296</v>
      </c>
    </row>
    <row r="459" spans="1:2" x14ac:dyDescent="0.2">
      <c r="A459" s="92" t="str">
        <f t="shared" si="256"/>
        <v xml:space="preserve">Remarks Email </v>
      </c>
      <c r="B459" s="95" t="s">
        <v>296</v>
      </c>
    </row>
    <row r="460" spans="1:2" ht="25.5" x14ac:dyDescent="0.2">
      <c r="A460" s="92" t="str">
        <f t="shared" si="257"/>
        <v>Status do booking no Globe</v>
      </c>
      <c r="B460" s="95" t="s">
        <v>296</v>
      </c>
    </row>
    <row r="461" spans="1:2" ht="25.5" x14ac:dyDescent="0.2">
      <c r="A461" s="92" t="str">
        <f t="shared" si="258"/>
        <v>O que fazer no sistema</v>
      </c>
      <c r="B461" s="95" t="s">
        <v>296</v>
      </c>
    </row>
    <row r="462" spans="1:2" ht="25.5" x14ac:dyDescent="0.2">
      <c r="A462" s="92" t="str">
        <f t="shared" si="259"/>
        <v>Ação do Booking Expert</v>
      </c>
      <c r="B462" s="95" t="s">
        <v>296</v>
      </c>
    </row>
    <row r="463" spans="1:2" x14ac:dyDescent="0.2">
      <c r="A463" s="94" t="s">
        <v>295</v>
      </c>
      <c r="B463" s="95" t="s">
        <v>296</v>
      </c>
    </row>
    <row r="464" spans="1:2" x14ac:dyDescent="0.2">
      <c r="A464" s="92" t="str">
        <f t="shared" si="255"/>
        <v>Remarks Globe</v>
      </c>
      <c r="B464" s="95" t="s">
        <v>296</v>
      </c>
    </row>
    <row r="465" spans="1:2" x14ac:dyDescent="0.2">
      <c r="A465" s="92" t="str">
        <f t="shared" si="256"/>
        <v xml:space="preserve">Remarks Email </v>
      </c>
      <c r="B465" s="95" t="s">
        <v>296</v>
      </c>
    </row>
    <row r="466" spans="1:2" ht="25.5" x14ac:dyDescent="0.2">
      <c r="A466" s="92" t="str">
        <f t="shared" si="257"/>
        <v>Status do booking no Globe</v>
      </c>
      <c r="B466" s="95" t="s">
        <v>296</v>
      </c>
    </row>
    <row r="467" spans="1:2" ht="25.5" x14ac:dyDescent="0.2">
      <c r="A467" s="92" t="str">
        <f t="shared" si="258"/>
        <v>O que fazer no sistema</v>
      </c>
      <c r="B467" s="95" t="s">
        <v>296</v>
      </c>
    </row>
    <row r="468" spans="1:2" ht="25.5" x14ac:dyDescent="0.2">
      <c r="A468" s="92" t="str">
        <f t="shared" si="259"/>
        <v>Ação do Booking Expert</v>
      </c>
      <c r="B468" s="95" t="s">
        <v>296</v>
      </c>
    </row>
    <row r="469" spans="1:2" x14ac:dyDescent="0.2">
      <c r="A469" s="94" t="s">
        <v>295</v>
      </c>
      <c r="B469" s="95" t="s">
        <v>296</v>
      </c>
    </row>
    <row r="470" spans="1:2" x14ac:dyDescent="0.2">
      <c r="A470" s="92" t="str">
        <f t="shared" si="255"/>
        <v>Remarks Globe</v>
      </c>
      <c r="B470" s="95" t="s">
        <v>296</v>
      </c>
    </row>
    <row r="471" spans="1:2" x14ac:dyDescent="0.2">
      <c r="A471" s="92" t="str">
        <f t="shared" si="256"/>
        <v xml:space="preserve">Remarks Email </v>
      </c>
      <c r="B471" s="95" t="s">
        <v>296</v>
      </c>
    </row>
    <row r="472" spans="1:2" ht="25.5" x14ac:dyDescent="0.2">
      <c r="A472" s="92" t="str">
        <f t="shared" si="257"/>
        <v>Status do booking no Globe</v>
      </c>
      <c r="B472" s="95" t="s">
        <v>296</v>
      </c>
    </row>
    <row r="473" spans="1:2" ht="25.5" x14ac:dyDescent="0.2">
      <c r="A473" s="92" t="str">
        <f t="shared" si="258"/>
        <v>O que fazer no sistema</v>
      </c>
      <c r="B473" s="95" t="s">
        <v>296</v>
      </c>
    </row>
    <row r="474" spans="1:2" ht="25.5" x14ac:dyDescent="0.2">
      <c r="A474" s="92" t="str">
        <f t="shared" si="259"/>
        <v>Ação do Booking Expert</v>
      </c>
      <c r="B474" s="95" t="s">
        <v>296</v>
      </c>
    </row>
    <row r="475" spans="1:2" x14ac:dyDescent="0.2">
      <c r="A475" s="94" t="s">
        <v>295</v>
      </c>
      <c r="B475" s="95" t="s">
        <v>296</v>
      </c>
    </row>
    <row r="476" spans="1:2" x14ac:dyDescent="0.2">
      <c r="A476" s="92" t="str">
        <f t="shared" si="255"/>
        <v>Remarks Globe</v>
      </c>
      <c r="B476" s="95" t="s">
        <v>296</v>
      </c>
    </row>
    <row r="477" spans="1:2" x14ac:dyDescent="0.2">
      <c r="A477" s="92" t="str">
        <f t="shared" si="256"/>
        <v xml:space="preserve">Remarks Email </v>
      </c>
      <c r="B477" s="95" t="s">
        <v>296</v>
      </c>
    </row>
    <row r="478" spans="1:2" ht="25.5" x14ac:dyDescent="0.2">
      <c r="A478" s="92" t="str">
        <f t="shared" si="257"/>
        <v>Status do booking no Globe</v>
      </c>
      <c r="B478" s="95" t="s">
        <v>296</v>
      </c>
    </row>
    <row r="479" spans="1:2" ht="25.5" x14ac:dyDescent="0.2">
      <c r="A479" s="92" t="str">
        <f t="shared" si="258"/>
        <v>O que fazer no sistema</v>
      </c>
      <c r="B479" s="95" t="s">
        <v>296</v>
      </c>
    </row>
    <row r="480" spans="1:2" ht="25.5" x14ac:dyDescent="0.2">
      <c r="A480" s="92" t="str">
        <f t="shared" si="259"/>
        <v>Ação do Booking Expert</v>
      </c>
      <c r="B480" s="95" t="s">
        <v>296</v>
      </c>
    </row>
    <row r="481" spans="1:2" x14ac:dyDescent="0.2">
      <c r="A481" s="94" t="s">
        <v>295</v>
      </c>
      <c r="B481" s="95" t="s">
        <v>296</v>
      </c>
    </row>
    <row r="482" spans="1:2" x14ac:dyDescent="0.2">
      <c r="A482" s="92" t="str">
        <f t="shared" si="255"/>
        <v>Remarks Globe</v>
      </c>
      <c r="B482" s="95" t="s">
        <v>296</v>
      </c>
    </row>
    <row r="483" spans="1:2" x14ac:dyDescent="0.2">
      <c r="A483" s="92" t="str">
        <f t="shared" si="256"/>
        <v xml:space="preserve">Remarks Email </v>
      </c>
      <c r="B483" s="95" t="s">
        <v>296</v>
      </c>
    </row>
    <row r="484" spans="1:2" ht="25.5" x14ac:dyDescent="0.2">
      <c r="A484" s="92" t="str">
        <f t="shared" si="257"/>
        <v>Status do booking no Globe</v>
      </c>
      <c r="B484" s="95" t="s">
        <v>296</v>
      </c>
    </row>
    <row r="485" spans="1:2" ht="25.5" x14ac:dyDescent="0.2">
      <c r="A485" s="92" t="str">
        <f t="shared" si="258"/>
        <v>O que fazer no sistema</v>
      </c>
      <c r="B485" s="95" t="s">
        <v>296</v>
      </c>
    </row>
    <row r="486" spans="1:2" ht="25.5" x14ac:dyDescent="0.2">
      <c r="A486" s="92" t="str">
        <f t="shared" si="259"/>
        <v>Ação do Booking Expert</v>
      </c>
      <c r="B486" s="95" t="s">
        <v>296</v>
      </c>
    </row>
    <row r="487" spans="1:2" x14ac:dyDescent="0.2">
      <c r="A487" s="94" t="s">
        <v>295</v>
      </c>
      <c r="B487" s="95" t="s">
        <v>296</v>
      </c>
    </row>
    <row r="488" spans="1:2" x14ac:dyDescent="0.2">
      <c r="A488" s="92" t="str">
        <f t="shared" si="255"/>
        <v>Remarks Globe</v>
      </c>
      <c r="B488" s="95" t="s">
        <v>296</v>
      </c>
    </row>
    <row r="489" spans="1:2" x14ac:dyDescent="0.2">
      <c r="A489" s="92" t="str">
        <f t="shared" si="256"/>
        <v xml:space="preserve">Remarks Email </v>
      </c>
      <c r="B489" s="95" t="s">
        <v>296</v>
      </c>
    </row>
    <row r="490" spans="1:2" ht="25.5" x14ac:dyDescent="0.2">
      <c r="A490" s="92" t="str">
        <f t="shared" si="257"/>
        <v>Status do booking no Globe</v>
      </c>
      <c r="B490" s="95" t="s">
        <v>296</v>
      </c>
    </row>
    <row r="491" spans="1:2" ht="25.5" x14ac:dyDescent="0.2">
      <c r="A491" s="92" t="str">
        <f t="shared" si="258"/>
        <v>O que fazer no sistema</v>
      </c>
      <c r="B491" s="95" t="s">
        <v>296</v>
      </c>
    </row>
    <row r="492" spans="1:2" ht="25.5" x14ac:dyDescent="0.2">
      <c r="A492" s="92" t="str">
        <f t="shared" si="259"/>
        <v>Ação do Booking Expert</v>
      </c>
      <c r="B492" s="95" t="s">
        <v>296</v>
      </c>
    </row>
    <row r="493" spans="1:2" x14ac:dyDescent="0.2">
      <c r="A493" s="94" t="s">
        <v>295</v>
      </c>
      <c r="B493" s="95" t="s">
        <v>296</v>
      </c>
    </row>
    <row r="494" spans="1:2" x14ac:dyDescent="0.2">
      <c r="A494" s="92" t="str">
        <f t="shared" si="255"/>
        <v>Remarks Globe</v>
      </c>
      <c r="B494" s="95" t="s">
        <v>296</v>
      </c>
    </row>
    <row r="495" spans="1:2" x14ac:dyDescent="0.2">
      <c r="A495" s="92" t="str">
        <f t="shared" si="256"/>
        <v xml:space="preserve">Remarks Email </v>
      </c>
      <c r="B495" s="95" t="s">
        <v>296</v>
      </c>
    </row>
    <row r="496" spans="1:2" ht="25.5" x14ac:dyDescent="0.2">
      <c r="A496" s="92" t="str">
        <f t="shared" si="257"/>
        <v>Status do booking no Globe</v>
      </c>
      <c r="B496" s="95" t="s">
        <v>296</v>
      </c>
    </row>
    <row r="497" spans="1:2" ht="25.5" x14ac:dyDescent="0.2">
      <c r="A497" s="92" t="str">
        <f t="shared" si="258"/>
        <v>O que fazer no sistema</v>
      </c>
      <c r="B497" s="95" t="s">
        <v>296</v>
      </c>
    </row>
    <row r="498" spans="1:2" ht="25.5" x14ac:dyDescent="0.2">
      <c r="A498" s="92" t="str">
        <f t="shared" si="259"/>
        <v>Ação do Booking Expert</v>
      </c>
      <c r="B498" s="95" t="s">
        <v>296</v>
      </c>
    </row>
    <row r="499" spans="1:2" x14ac:dyDescent="0.2">
      <c r="A499" s="94" t="s">
        <v>295</v>
      </c>
      <c r="B499" s="95" t="s">
        <v>296</v>
      </c>
    </row>
    <row r="500" spans="1:2" x14ac:dyDescent="0.2">
      <c r="A500" s="92"/>
    </row>
    <row r="501" spans="1:2" x14ac:dyDescent="0.2">
      <c r="A501" s="92"/>
    </row>
  </sheetData>
  <conditionalFormatting sqref="A1:A1048576">
    <cfRule type="containsText" dxfId="34" priority="5" operator="containsText" text="Remarks Email">
      <formula>NOT(ISERROR(SEARCH("Remarks Email",A1)))</formula>
    </cfRule>
    <cfRule type="containsText" dxfId="33" priority="4" operator="containsText" text="Remarks Globe">
      <formula>NOT(ISERROR(SEARCH("Remarks Globe",A1)))</formula>
    </cfRule>
    <cfRule type="containsText" dxfId="32" priority="3" operator="containsText" text="Status do booking no Globe">
      <formula>NOT(ISERROR(SEARCH("Status do booking no Globe",A1)))</formula>
    </cfRule>
    <cfRule type="containsText" dxfId="31" priority="2" operator="containsText" text="O que fazer no sistema">
      <formula>NOT(ISERROR(SEARCH("O que fazer no sistema",A1)))</formula>
    </cfRule>
    <cfRule type="containsText" dxfId="30" priority="1" operator="containsText" text="Ação do Booking Expert">
      <formula>NOT(ISERROR(SEARCH("Ação do Booking Expert",A1)))</formula>
    </cfRule>
  </conditionalFormatting>
  <pageMargins left="0.511811024" right="0.511811024" top="0.78740157499999996" bottom="0.78740157499999996" header="0.31496062000000002" footer="0.31496062000000002"/>
  <pageSetup paperSize="9" orientation="portrait" verticalDpi="0"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2:L57"/>
  <sheetViews>
    <sheetView showGridLines="0" zoomScale="80" zoomScaleNormal="80" workbookViewId="0">
      <pane ySplit="2" topLeftCell="A3" activePane="bottomLeft" state="frozen"/>
      <selection activeCell="J1" sqref="J1"/>
      <selection pane="bottomLeft" activeCell="C3" sqref="C3"/>
    </sheetView>
  </sheetViews>
  <sheetFormatPr defaultColWidth="9.140625" defaultRowHeight="12.75" x14ac:dyDescent="0.2"/>
  <cols>
    <col min="1" max="1" width="23.140625" style="66" bestFit="1" customWidth="1"/>
    <col min="2" max="2" width="21" style="66" customWidth="1"/>
    <col min="3" max="3" width="37.42578125" style="66" customWidth="1"/>
    <col min="4" max="4" width="30.7109375" style="66" customWidth="1"/>
    <col min="5" max="5" width="40.28515625" style="66" customWidth="1"/>
    <col min="6" max="6" width="33.140625" style="66" customWidth="1"/>
    <col min="7" max="7" width="36" style="66" customWidth="1"/>
    <col min="8" max="8" width="42.7109375" style="66" customWidth="1"/>
    <col min="9" max="9" width="59.7109375" style="66" customWidth="1"/>
    <col min="10" max="10" width="60.140625" style="66" customWidth="1"/>
    <col min="11" max="11" width="9.42578125" style="66" customWidth="1"/>
    <col min="12" max="12" width="10.85546875" style="66" customWidth="1"/>
    <col min="13" max="16384" width="9.140625" style="67"/>
  </cols>
  <sheetData>
    <row r="2" spans="1:12" s="68" customFormat="1" ht="15.75" x14ac:dyDescent="0.2">
      <c r="A2" s="77" t="s">
        <v>28</v>
      </c>
      <c r="B2" s="78" t="s">
        <v>29</v>
      </c>
      <c r="C2" s="78" t="s">
        <v>1</v>
      </c>
      <c r="D2" s="78" t="s">
        <v>12</v>
      </c>
      <c r="E2" s="78" t="s">
        <v>13</v>
      </c>
      <c r="F2" s="79" t="s">
        <v>14</v>
      </c>
      <c r="G2" s="79" t="s">
        <v>15</v>
      </c>
      <c r="H2" s="79" t="s">
        <v>16</v>
      </c>
      <c r="I2" s="79" t="s">
        <v>160</v>
      </c>
      <c r="J2" s="79" t="s">
        <v>161</v>
      </c>
      <c r="K2" s="79" t="s">
        <v>162</v>
      </c>
      <c r="L2" s="80" t="s">
        <v>163</v>
      </c>
    </row>
    <row r="3" spans="1:12" ht="47.25" x14ac:dyDescent="0.2">
      <c r="A3" s="74" t="s">
        <v>0</v>
      </c>
      <c r="B3" s="69" t="s">
        <v>48</v>
      </c>
      <c r="C3" s="69" t="s">
        <v>192</v>
      </c>
      <c r="D3" s="69" t="s">
        <v>32</v>
      </c>
      <c r="E3" s="69" t="s">
        <v>2</v>
      </c>
      <c r="F3" s="69" t="s">
        <v>3</v>
      </c>
      <c r="G3" s="69"/>
      <c r="H3" s="69" t="s">
        <v>6</v>
      </c>
      <c r="I3" s="69" t="s">
        <v>164</v>
      </c>
      <c r="J3" s="69" t="s">
        <v>165</v>
      </c>
      <c r="K3" s="81">
        <v>1</v>
      </c>
      <c r="L3" s="82">
        <f>LEN(I3)</f>
        <v>156</v>
      </c>
    </row>
    <row r="4" spans="1:12" ht="47.25" x14ac:dyDescent="0.2">
      <c r="A4" s="74" t="s">
        <v>0</v>
      </c>
      <c r="B4" s="69" t="s">
        <v>48</v>
      </c>
      <c r="C4" s="69" t="s">
        <v>192</v>
      </c>
      <c r="D4" s="69" t="s">
        <v>268</v>
      </c>
      <c r="E4" s="69" t="s">
        <v>2</v>
      </c>
      <c r="F4" s="69" t="s">
        <v>3</v>
      </c>
      <c r="G4" s="69"/>
      <c r="H4" s="69"/>
      <c r="I4" s="69" t="s">
        <v>166</v>
      </c>
      <c r="J4" s="69" t="s">
        <v>167</v>
      </c>
      <c r="K4" s="81">
        <v>2</v>
      </c>
      <c r="L4" s="82">
        <f>LEN(I4)</f>
        <v>138</v>
      </c>
    </row>
    <row r="5" spans="1:12" ht="63" x14ac:dyDescent="0.2">
      <c r="A5" s="74" t="s">
        <v>19</v>
      </c>
      <c r="B5" s="69" t="s">
        <v>48</v>
      </c>
      <c r="C5" s="69" t="s">
        <v>22</v>
      </c>
      <c r="D5" s="69" t="s">
        <v>269</v>
      </c>
      <c r="E5" s="69" t="s">
        <v>20</v>
      </c>
      <c r="F5" s="69" t="s">
        <v>5</v>
      </c>
      <c r="G5" s="69"/>
      <c r="H5" s="69"/>
      <c r="I5" s="69" t="s">
        <v>168</v>
      </c>
      <c r="J5" s="69" t="s">
        <v>169</v>
      </c>
      <c r="K5" s="81">
        <v>3</v>
      </c>
      <c r="L5" s="82">
        <f>LEN(I5)</f>
        <v>140</v>
      </c>
    </row>
    <row r="6" spans="1:12" ht="47.25" x14ac:dyDescent="0.2">
      <c r="A6" s="74" t="s">
        <v>19</v>
      </c>
      <c r="B6" s="69" t="s">
        <v>48</v>
      </c>
      <c r="C6" s="69" t="s">
        <v>192</v>
      </c>
      <c r="D6" s="85" t="s">
        <v>293</v>
      </c>
      <c r="E6" s="85" t="s">
        <v>4</v>
      </c>
      <c r="F6" s="69" t="s">
        <v>5</v>
      </c>
      <c r="G6" s="69"/>
      <c r="H6" s="69"/>
      <c r="I6" s="70" t="s">
        <v>170</v>
      </c>
      <c r="J6" s="69" t="s">
        <v>171</v>
      </c>
      <c r="K6" s="81">
        <v>4</v>
      </c>
      <c r="L6" s="82">
        <f>LEN(I6)</f>
        <v>128</v>
      </c>
    </row>
    <row r="7" spans="1:12" s="71" customFormat="1" ht="63" x14ac:dyDescent="0.2">
      <c r="A7" s="74" t="s">
        <v>19</v>
      </c>
      <c r="B7" s="69" t="s">
        <v>48</v>
      </c>
      <c r="C7" s="69" t="s">
        <v>22</v>
      </c>
      <c r="D7" s="69" t="s">
        <v>270</v>
      </c>
      <c r="E7" s="69" t="s">
        <v>20</v>
      </c>
      <c r="F7" s="69" t="s">
        <v>5</v>
      </c>
      <c r="G7" s="69"/>
      <c r="H7" s="69"/>
      <c r="I7" s="70" t="s">
        <v>172</v>
      </c>
      <c r="J7" s="69" t="s">
        <v>173</v>
      </c>
      <c r="K7" s="81">
        <v>5</v>
      </c>
      <c r="L7" s="82">
        <f>LEN(I7)</f>
        <v>133</v>
      </c>
    </row>
    <row r="8" spans="1:12" s="71" customFormat="1" ht="63" x14ac:dyDescent="0.2">
      <c r="A8" s="75" t="s">
        <v>267</v>
      </c>
      <c r="B8" s="72" t="s">
        <v>48</v>
      </c>
      <c r="C8" s="69" t="s">
        <v>22</v>
      </c>
      <c r="D8" s="72" t="s">
        <v>35</v>
      </c>
      <c r="E8" s="72" t="s">
        <v>17</v>
      </c>
      <c r="F8" s="72" t="s">
        <v>18</v>
      </c>
      <c r="G8" s="72"/>
      <c r="H8" s="72"/>
      <c r="I8" s="72" t="s">
        <v>174</v>
      </c>
      <c r="J8" s="72" t="s">
        <v>175</v>
      </c>
      <c r="K8" s="81">
        <v>6</v>
      </c>
      <c r="L8" s="82">
        <f>LEN(I8)</f>
        <v>189</v>
      </c>
    </row>
    <row r="9" spans="1:12" s="71" customFormat="1" ht="63" x14ac:dyDescent="0.2">
      <c r="A9" s="75" t="s">
        <v>267</v>
      </c>
      <c r="B9" s="69" t="s">
        <v>48</v>
      </c>
      <c r="C9" s="69" t="s">
        <v>192</v>
      </c>
      <c r="D9" s="69" t="s">
        <v>33</v>
      </c>
      <c r="E9" s="69" t="s">
        <v>4</v>
      </c>
      <c r="F9" s="69" t="s">
        <v>5</v>
      </c>
      <c r="G9" s="69"/>
      <c r="H9" s="69"/>
      <c r="I9" s="69" t="s">
        <v>176</v>
      </c>
      <c r="J9" s="69" t="s">
        <v>177</v>
      </c>
      <c r="K9" s="81">
        <v>7</v>
      </c>
      <c r="L9" s="82">
        <f>LEN(I9)</f>
        <v>178</v>
      </c>
    </row>
    <row r="10" spans="1:12" s="71" customFormat="1" ht="47.25" x14ac:dyDescent="0.2">
      <c r="A10" s="74" t="s">
        <v>0</v>
      </c>
      <c r="B10" s="69" t="s">
        <v>48</v>
      </c>
      <c r="C10" s="69" t="s">
        <v>192</v>
      </c>
      <c r="D10" s="69" t="s">
        <v>30</v>
      </c>
      <c r="E10" s="69" t="s">
        <v>2</v>
      </c>
      <c r="F10" s="69" t="s">
        <v>3</v>
      </c>
      <c r="G10" s="69"/>
      <c r="H10" s="69"/>
      <c r="I10" s="69" t="s">
        <v>178</v>
      </c>
      <c r="J10" s="69" t="s">
        <v>179</v>
      </c>
      <c r="K10" s="81">
        <v>8</v>
      </c>
      <c r="L10" s="82">
        <f>LEN(I10)</f>
        <v>139</v>
      </c>
    </row>
    <row r="11" spans="1:12" ht="63" x14ac:dyDescent="0.2">
      <c r="A11" s="75" t="s">
        <v>267</v>
      </c>
      <c r="B11" s="69" t="s">
        <v>48</v>
      </c>
      <c r="C11" s="69" t="s">
        <v>192</v>
      </c>
      <c r="D11" s="69" t="s">
        <v>30</v>
      </c>
      <c r="E11" s="69" t="s">
        <v>4</v>
      </c>
      <c r="F11" s="69" t="s">
        <v>5</v>
      </c>
      <c r="G11" s="69"/>
      <c r="H11" s="69"/>
      <c r="I11" s="69" t="s">
        <v>180</v>
      </c>
      <c r="J11" s="69" t="s">
        <v>181</v>
      </c>
      <c r="K11" s="81">
        <v>9</v>
      </c>
      <c r="L11" s="82">
        <f>LEN(I11)</f>
        <v>183</v>
      </c>
    </row>
    <row r="12" spans="1:12" ht="47.25" x14ac:dyDescent="0.2">
      <c r="A12" s="74" t="s">
        <v>0</v>
      </c>
      <c r="B12" s="69" t="s">
        <v>48</v>
      </c>
      <c r="C12" s="69" t="s">
        <v>192</v>
      </c>
      <c r="D12" s="69" t="s">
        <v>31</v>
      </c>
      <c r="E12" s="69" t="s">
        <v>4</v>
      </c>
      <c r="F12" s="69" t="s">
        <v>5</v>
      </c>
      <c r="G12" s="69"/>
      <c r="H12" s="69"/>
      <c r="I12" s="69" t="s">
        <v>182</v>
      </c>
      <c r="J12" s="69" t="s">
        <v>183</v>
      </c>
      <c r="K12" s="81">
        <v>10</v>
      </c>
      <c r="L12" s="82">
        <f>LEN(I12)</f>
        <v>135</v>
      </c>
    </row>
    <row r="13" spans="1:12" ht="47.25" x14ac:dyDescent="0.2">
      <c r="A13" s="75" t="s">
        <v>267</v>
      </c>
      <c r="B13" s="69" t="s">
        <v>48</v>
      </c>
      <c r="C13" s="69" t="s">
        <v>192</v>
      </c>
      <c r="D13" s="69" t="s">
        <v>34</v>
      </c>
      <c r="E13" s="69" t="s">
        <v>4</v>
      </c>
      <c r="F13" s="69" t="s">
        <v>5</v>
      </c>
      <c r="G13" s="69"/>
      <c r="H13" s="69"/>
      <c r="I13" s="69" t="s">
        <v>184</v>
      </c>
      <c r="J13" s="69" t="s">
        <v>185</v>
      </c>
      <c r="K13" s="81">
        <v>11</v>
      </c>
      <c r="L13" s="82">
        <f>LEN(I13)</f>
        <v>119</v>
      </c>
    </row>
    <row r="14" spans="1:12" s="71" customFormat="1" ht="47.25" x14ac:dyDescent="0.2">
      <c r="A14" s="74" t="s">
        <v>19</v>
      </c>
      <c r="B14" s="69" t="s">
        <v>49</v>
      </c>
      <c r="C14" s="69" t="s">
        <v>22</v>
      </c>
      <c r="D14" s="69" t="s">
        <v>271</v>
      </c>
      <c r="E14" s="69" t="s">
        <v>2</v>
      </c>
      <c r="F14" s="69"/>
      <c r="G14" s="69"/>
      <c r="H14" s="69"/>
      <c r="I14" s="69" t="s">
        <v>186</v>
      </c>
      <c r="J14" s="69" t="s">
        <v>187</v>
      </c>
      <c r="K14" s="81">
        <v>12</v>
      </c>
      <c r="L14" s="82">
        <f>LEN(I14)</f>
        <v>128</v>
      </c>
    </row>
    <row r="15" spans="1:12" ht="78.75" x14ac:dyDescent="0.2">
      <c r="A15" s="74" t="s">
        <v>19</v>
      </c>
      <c r="B15" s="69" t="s">
        <v>49</v>
      </c>
      <c r="C15" s="69" t="s">
        <v>25</v>
      </c>
      <c r="D15" s="69" t="s">
        <v>36</v>
      </c>
      <c r="E15" s="69" t="s">
        <v>4</v>
      </c>
      <c r="F15" s="69" t="s">
        <v>5</v>
      </c>
      <c r="G15" s="69"/>
      <c r="H15" s="69" t="s">
        <v>26</v>
      </c>
      <c r="I15" s="69" t="s">
        <v>188</v>
      </c>
      <c r="J15" s="69" t="s">
        <v>189</v>
      </c>
      <c r="K15" s="81">
        <v>13</v>
      </c>
      <c r="L15" s="82">
        <f>LEN(I15)</f>
        <v>231</v>
      </c>
    </row>
    <row r="16" spans="1:12" ht="63" x14ac:dyDescent="0.2">
      <c r="A16" s="74" t="s">
        <v>19</v>
      </c>
      <c r="B16" s="69" t="s">
        <v>49</v>
      </c>
      <c r="C16" s="69" t="s">
        <v>25</v>
      </c>
      <c r="D16" s="69" t="s">
        <v>37</v>
      </c>
      <c r="E16" s="69" t="s">
        <v>4</v>
      </c>
      <c r="F16" s="69" t="s">
        <v>5</v>
      </c>
      <c r="G16" s="69"/>
      <c r="H16" s="69" t="s">
        <v>27</v>
      </c>
      <c r="I16" s="69" t="s">
        <v>190</v>
      </c>
      <c r="J16" s="69" t="s">
        <v>191</v>
      </c>
      <c r="K16" s="81">
        <v>14</v>
      </c>
      <c r="L16" s="82">
        <f>LEN(I16)</f>
        <v>178</v>
      </c>
    </row>
    <row r="17" spans="1:12" s="71" customFormat="1" ht="47.25" x14ac:dyDescent="0.2">
      <c r="A17" s="74" t="s">
        <v>19</v>
      </c>
      <c r="B17" s="69" t="s">
        <v>49</v>
      </c>
      <c r="C17" s="69" t="s">
        <v>192</v>
      </c>
      <c r="D17" s="85" t="s">
        <v>291</v>
      </c>
      <c r="E17" s="85" t="s">
        <v>4</v>
      </c>
      <c r="F17" s="69" t="s">
        <v>5</v>
      </c>
      <c r="G17" s="69"/>
      <c r="H17" s="69"/>
      <c r="I17" s="69" t="s">
        <v>193</v>
      </c>
      <c r="J17" s="69" t="s">
        <v>194</v>
      </c>
      <c r="K17" s="81">
        <v>15</v>
      </c>
      <c r="L17" s="82">
        <f>LEN(I17)</f>
        <v>106</v>
      </c>
    </row>
    <row r="18" spans="1:12" ht="47.25" x14ac:dyDescent="0.2">
      <c r="A18" s="74" t="s">
        <v>19</v>
      </c>
      <c r="B18" s="69" t="s">
        <v>49</v>
      </c>
      <c r="C18" s="69" t="s">
        <v>25</v>
      </c>
      <c r="D18" s="69" t="s">
        <v>272</v>
      </c>
      <c r="E18" s="69" t="s">
        <v>20</v>
      </c>
      <c r="F18" s="69" t="s">
        <v>5</v>
      </c>
      <c r="G18" s="69"/>
      <c r="H18" s="69"/>
      <c r="I18" s="69" t="s">
        <v>195</v>
      </c>
      <c r="J18" s="69" t="s">
        <v>311</v>
      </c>
      <c r="K18" s="81">
        <v>16</v>
      </c>
      <c r="L18" s="82">
        <f>LEN(I18)</f>
        <v>160</v>
      </c>
    </row>
    <row r="19" spans="1:12" ht="31.5" x14ac:dyDescent="0.2">
      <c r="A19" s="74" t="s">
        <v>19</v>
      </c>
      <c r="B19" s="69" t="s">
        <v>49</v>
      </c>
      <c r="C19" s="69" t="s">
        <v>25</v>
      </c>
      <c r="D19" s="69" t="s">
        <v>38</v>
      </c>
      <c r="E19" s="69" t="s">
        <v>20</v>
      </c>
      <c r="F19" s="69" t="s">
        <v>5</v>
      </c>
      <c r="G19" s="69"/>
      <c r="H19" s="69"/>
      <c r="I19" s="69" t="s">
        <v>196</v>
      </c>
      <c r="J19" s="69" t="s">
        <v>197</v>
      </c>
      <c r="K19" s="81">
        <v>17</v>
      </c>
      <c r="L19" s="82">
        <f>LEN(I19)</f>
        <v>59</v>
      </c>
    </row>
    <row r="20" spans="1:12" ht="78.75" x14ac:dyDescent="0.2">
      <c r="A20" s="74" t="s">
        <v>19</v>
      </c>
      <c r="B20" s="69" t="s">
        <v>49</v>
      </c>
      <c r="C20" s="69" t="s">
        <v>22</v>
      </c>
      <c r="D20" s="69" t="s">
        <v>273</v>
      </c>
      <c r="E20" s="69" t="s">
        <v>4</v>
      </c>
      <c r="F20" s="69"/>
      <c r="G20" s="69"/>
      <c r="H20" s="69"/>
      <c r="I20" s="69" t="s">
        <v>198</v>
      </c>
      <c r="J20" s="69" t="s">
        <v>199</v>
      </c>
      <c r="K20" s="81">
        <v>18</v>
      </c>
      <c r="L20" s="82">
        <f>LEN(I20)</f>
        <v>254</v>
      </c>
    </row>
    <row r="21" spans="1:12" ht="63" x14ac:dyDescent="0.2">
      <c r="A21" s="76" t="s">
        <v>19</v>
      </c>
      <c r="B21" s="70" t="s">
        <v>49</v>
      </c>
      <c r="C21" s="70" t="s">
        <v>22</v>
      </c>
      <c r="D21" s="70" t="s">
        <v>274</v>
      </c>
      <c r="E21" s="70" t="s">
        <v>4</v>
      </c>
      <c r="F21" s="70"/>
      <c r="G21" s="70"/>
      <c r="H21" s="70"/>
      <c r="I21" s="70" t="s">
        <v>200</v>
      </c>
      <c r="J21" s="70" t="s">
        <v>201</v>
      </c>
      <c r="K21" s="81">
        <v>19</v>
      </c>
      <c r="L21" s="82">
        <f>LEN(I21)</f>
        <v>193</v>
      </c>
    </row>
    <row r="22" spans="1:12" ht="47.25" x14ac:dyDescent="0.2">
      <c r="A22" s="76" t="s">
        <v>19</v>
      </c>
      <c r="B22" s="70" t="s">
        <v>49</v>
      </c>
      <c r="C22" s="70" t="s">
        <v>22</v>
      </c>
      <c r="D22" s="70" t="s">
        <v>275</v>
      </c>
      <c r="E22" s="70" t="s">
        <v>4</v>
      </c>
      <c r="F22" s="70"/>
      <c r="G22" s="70"/>
      <c r="H22" s="70"/>
      <c r="I22" s="70" t="s">
        <v>202</v>
      </c>
      <c r="J22" s="70" t="s">
        <v>203</v>
      </c>
      <c r="K22" s="81">
        <v>20</v>
      </c>
      <c r="L22" s="82">
        <f>LEN(I22)</f>
        <v>147</v>
      </c>
    </row>
    <row r="23" spans="1:12" ht="63" x14ac:dyDescent="0.2">
      <c r="A23" s="74" t="s">
        <v>19</v>
      </c>
      <c r="B23" s="69" t="s">
        <v>49</v>
      </c>
      <c r="C23" s="69" t="s">
        <v>22</v>
      </c>
      <c r="D23" s="69" t="s">
        <v>276</v>
      </c>
      <c r="E23" s="69" t="s">
        <v>4</v>
      </c>
      <c r="F23" s="69"/>
      <c r="G23" s="69"/>
      <c r="H23" s="69"/>
      <c r="I23" s="69" t="s">
        <v>204</v>
      </c>
      <c r="J23" s="69" t="s">
        <v>205</v>
      </c>
      <c r="K23" s="81">
        <v>21</v>
      </c>
      <c r="L23" s="82">
        <f>LEN(I23)</f>
        <v>196</v>
      </c>
    </row>
    <row r="24" spans="1:12" ht="63" x14ac:dyDescent="0.2">
      <c r="A24" s="74" t="s">
        <v>19</v>
      </c>
      <c r="B24" s="69" t="s">
        <v>49</v>
      </c>
      <c r="C24" s="69" t="s">
        <v>22</v>
      </c>
      <c r="D24" s="69" t="s">
        <v>277</v>
      </c>
      <c r="E24" s="69" t="s">
        <v>4</v>
      </c>
      <c r="F24" s="69"/>
      <c r="G24" s="69"/>
      <c r="H24" s="69"/>
      <c r="I24" s="69" t="s">
        <v>206</v>
      </c>
      <c r="J24" s="69" t="s">
        <v>207</v>
      </c>
      <c r="K24" s="81">
        <v>22</v>
      </c>
      <c r="L24" s="82">
        <f>LEN(I24)</f>
        <v>162</v>
      </c>
    </row>
    <row r="25" spans="1:12" ht="78.75" x14ac:dyDescent="0.2">
      <c r="A25" s="74" t="s">
        <v>0</v>
      </c>
      <c r="B25" s="69" t="s">
        <v>50</v>
      </c>
      <c r="C25" s="69" t="s">
        <v>22</v>
      </c>
      <c r="D25" s="70" t="s">
        <v>39</v>
      </c>
      <c r="E25" s="69" t="s">
        <v>7</v>
      </c>
      <c r="F25" s="69" t="s">
        <v>10</v>
      </c>
      <c r="G25" s="69"/>
      <c r="H25" s="69" t="s">
        <v>11</v>
      </c>
      <c r="I25" s="69" t="s">
        <v>208</v>
      </c>
      <c r="J25" s="69" t="s">
        <v>209</v>
      </c>
      <c r="K25" s="81">
        <v>23</v>
      </c>
      <c r="L25" s="82">
        <f>LEN(I25)</f>
        <v>244</v>
      </c>
    </row>
    <row r="26" spans="1:12" ht="78.75" x14ac:dyDescent="0.2">
      <c r="A26" s="74" t="s">
        <v>19</v>
      </c>
      <c r="B26" s="69" t="s">
        <v>51</v>
      </c>
      <c r="C26" s="69" t="s">
        <v>22</v>
      </c>
      <c r="D26" s="70" t="s">
        <v>280</v>
      </c>
      <c r="E26" s="69" t="s">
        <v>2</v>
      </c>
      <c r="F26" s="69"/>
      <c r="G26" s="69"/>
      <c r="H26" s="69"/>
      <c r="I26" s="69" t="s">
        <v>210</v>
      </c>
      <c r="J26" s="69" t="s">
        <v>211</v>
      </c>
      <c r="K26" s="81">
        <v>24</v>
      </c>
      <c r="L26" s="82">
        <f>LEN(I26)</f>
        <v>222</v>
      </c>
    </row>
    <row r="27" spans="1:12" ht="63" x14ac:dyDescent="0.2">
      <c r="A27" s="74" t="s">
        <v>19</v>
      </c>
      <c r="B27" s="69" t="s">
        <v>51</v>
      </c>
      <c r="C27" s="69" t="s">
        <v>22</v>
      </c>
      <c r="D27" s="70" t="s">
        <v>281</v>
      </c>
      <c r="E27" s="69" t="s">
        <v>4</v>
      </c>
      <c r="F27" s="69"/>
      <c r="G27" s="69"/>
      <c r="H27" s="69"/>
      <c r="I27" s="69" t="s">
        <v>212</v>
      </c>
      <c r="J27" s="69" t="s">
        <v>213</v>
      </c>
      <c r="K27" s="81">
        <v>25</v>
      </c>
      <c r="L27" s="82">
        <f>LEN(I27)</f>
        <v>181</v>
      </c>
    </row>
    <row r="28" spans="1:12" ht="47.25" x14ac:dyDescent="0.2">
      <c r="A28" s="74" t="s">
        <v>19</v>
      </c>
      <c r="B28" s="69" t="s">
        <v>51</v>
      </c>
      <c r="C28" s="69" t="s">
        <v>22</v>
      </c>
      <c r="D28" s="69" t="s">
        <v>40</v>
      </c>
      <c r="E28" s="69" t="s">
        <v>4</v>
      </c>
      <c r="F28" s="69" t="s">
        <v>5</v>
      </c>
      <c r="G28" s="69"/>
      <c r="H28" s="69" t="s">
        <v>24</v>
      </c>
      <c r="I28" s="69" t="s">
        <v>214</v>
      </c>
      <c r="J28" s="69" t="s">
        <v>215</v>
      </c>
      <c r="K28" s="81">
        <v>26</v>
      </c>
      <c r="L28" s="82">
        <f>LEN(I28)</f>
        <v>153</v>
      </c>
    </row>
    <row r="29" spans="1:12" ht="63" x14ac:dyDescent="0.2">
      <c r="A29" s="74" t="s">
        <v>19</v>
      </c>
      <c r="B29" s="69" t="s">
        <v>51</v>
      </c>
      <c r="C29" s="69" t="s">
        <v>22</v>
      </c>
      <c r="D29" s="70" t="s">
        <v>282</v>
      </c>
      <c r="E29" s="69" t="s">
        <v>4</v>
      </c>
      <c r="F29" s="69" t="s">
        <v>5</v>
      </c>
      <c r="G29" s="69"/>
      <c r="H29" s="69"/>
      <c r="I29" s="69" t="s">
        <v>216</v>
      </c>
      <c r="J29" s="69" t="s">
        <v>217</v>
      </c>
      <c r="K29" s="81">
        <v>27</v>
      </c>
      <c r="L29" s="82">
        <f>LEN(I29)</f>
        <v>206</v>
      </c>
    </row>
    <row r="30" spans="1:12" s="71" customFormat="1" ht="78.75" x14ac:dyDescent="0.2">
      <c r="A30" s="74" t="s">
        <v>19</v>
      </c>
      <c r="B30" s="69" t="s">
        <v>51</v>
      </c>
      <c r="C30" s="69" t="s">
        <v>22</v>
      </c>
      <c r="D30" s="70" t="s">
        <v>283</v>
      </c>
      <c r="E30" s="69" t="s">
        <v>2</v>
      </c>
      <c r="F30" s="69" t="s">
        <v>9</v>
      </c>
      <c r="G30" s="69"/>
      <c r="H30" s="69"/>
      <c r="I30" s="69" t="s">
        <v>218</v>
      </c>
      <c r="J30" s="69" t="s">
        <v>219</v>
      </c>
      <c r="K30" s="81">
        <v>28</v>
      </c>
      <c r="L30" s="82">
        <f>LEN(I30)</f>
        <v>238</v>
      </c>
    </row>
    <row r="31" spans="1:12" s="71" customFormat="1" ht="63" x14ac:dyDescent="0.2">
      <c r="A31" s="88" t="s">
        <v>19</v>
      </c>
      <c r="B31" s="85" t="s">
        <v>52</v>
      </c>
      <c r="C31" s="85" t="s">
        <v>25</v>
      </c>
      <c r="D31" s="85" t="s">
        <v>41</v>
      </c>
      <c r="E31" s="85" t="s">
        <v>4</v>
      </c>
      <c r="F31" s="85" t="s">
        <v>5</v>
      </c>
      <c r="G31" s="85" t="s">
        <v>21</v>
      </c>
      <c r="H31" s="85"/>
      <c r="I31" s="85" t="s">
        <v>220</v>
      </c>
      <c r="J31" s="85" t="s">
        <v>221</v>
      </c>
      <c r="K31" s="81">
        <v>29</v>
      </c>
      <c r="L31" s="82">
        <f>LEN(I31)</f>
        <v>219</v>
      </c>
    </row>
    <row r="32" spans="1:12" s="71" customFormat="1" ht="63" x14ac:dyDescent="0.2">
      <c r="A32" s="74" t="s">
        <v>19</v>
      </c>
      <c r="B32" s="69" t="s">
        <v>52</v>
      </c>
      <c r="C32" s="69" t="s">
        <v>192</v>
      </c>
      <c r="D32" s="69" t="s">
        <v>42</v>
      </c>
      <c r="E32" s="69" t="s">
        <v>4</v>
      </c>
      <c r="F32" s="69" t="s">
        <v>5</v>
      </c>
      <c r="G32" s="69" t="s">
        <v>21</v>
      </c>
      <c r="H32" s="69"/>
      <c r="I32" s="69" t="s">
        <v>222</v>
      </c>
      <c r="J32" s="69" t="s">
        <v>223</v>
      </c>
      <c r="K32" s="81">
        <v>30</v>
      </c>
      <c r="L32" s="82">
        <f>LEN(I32)</f>
        <v>167</v>
      </c>
    </row>
    <row r="33" spans="1:12" s="71" customFormat="1" ht="94.5" x14ac:dyDescent="0.2">
      <c r="A33" s="74" t="s">
        <v>0</v>
      </c>
      <c r="B33" s="69" t="s">
        <v>53</v>
      </c>
      <c r="C33" s="69" t="s">
        <v>22</v>
      </c>
      <c r="D33" s="73" t="s">
        <v>312</v>
      </c>
      <c r="E33" s="85" t="s">
        <v>224</v>
      </c>
      <c r="F33" s="85" t="s">
        <v>225</v>
      </c>
      <c r="G33" s="69"/>
      <c r="H33" s="69"/>
      <c r="I33" s="69" t="s">
        <v>226</v>
      </c>
      <c r="J33" s="69" t="s">
        <v>227</v>
      </c>
      <c r="K33" s="81">
        <v>31</v>
      </c>
      <c r="L33" s="82">
        <f>LEN(I33)</f>
        <v>253</v>
      </c>
    </row>
    <row r="34" spans="1:12" s="71" customFormat="1" ht="94.5" x14ac:dyDescent="0.2">
      <c r="A34" s="74" t="s">
        <v>0</v>
      </c>
      <c r="B34" s="69" t="s">
        <v>53</v>
      </c>
      <c r="C34" s="69" t="s">
        <v>22</v>
      </c>
      <c r="D34" s="73" t="s">
        <v>313</v>
      </c>
      <c r="E34" s="85" t="s">
        <v>224</v>
      </c>
      <c r="F34" s="85" t="s">
        <v>225</v>
      </c>
      <c r="G34" s="69"/>
      <c r="H34" s="69"/>
      <c r="I34" s="69" t="s">
        <v>228</v>
      </c>
      <c r="J34" s="69" t="s">
        <v>229</v>
      </c>
      <c r="K34" s="81">
        <v>32</v>
      </c>
      <c r="L34" s="82">
        <f>LEN(I34)</f>
        <v>253</v>
      </c>
    </row>
    <row r="35" spans="1:12" ht="110.25" x14ac:dyDescent="0.2">
      <c r="A35" s="74" t="s">
        <v>0</v>
      </c>
      <c r="B35" s="69" t="s">
        <v>53</v>
      </c>
      <c r="C35" s="69" t="s">
        <v>22</v>
      </c>
      <c r="D35" s="73" t="s">
        <v>316</v>
      </c>
      <c r="E35" s="69" t="s">
        <v>230</v>
      </c>
      <c r="F35" s="69" t="s">
        <v>231</v>
      </c>
      <c r="G35" s="69"/>
      <c r="H35" s="69"/>
      <c r="I35" s="69" t="s">
        <v>232</v>
      </c>
      <c r="J35" s="73" t="s">
        <v>315</v>
      </c>
      <c r="K35" s="81">
        <v>33</v>
      </c>
      <c r="L35" s="82">
        <f>LEN(I35)</f>
        <v>247</v>
      </c>
    </row>
    <row r="36" spans="1:12" ht="110.25" x14ac:dyDescent="0.2">
      <c r="A36" s="74" t="s">
        <v>0</v>
      </c>
      <c r="B36" s="69" t="s">
        <v>53</v>
      </c>
      <c r="C36" s="69" t="s">
        <v>22</v>
      </c>
      <c r="D36" s="73" t="s">
        <v>314</v>
      </c>
      <c r="E36" s="69" t="s">
        <v>230</v>
      </c>
      <c r="F36" s="69" t="s">
        <v>231</v>
      </c>
      <c r="G36" s="69"/>
      <c r="H36" s="69"/>
      <c r="I36" s="69" t="s">
        <v>234</v>
      </c>
      <c r="J36" s="69" t="s">
        <v>233</v>
      </c>
      <c r="K36" s="81">
        <v>34</v>
      </c>
      <c r="L36" s="82">
        <f>LEN(I36)</f>
        <v>247</v>
      </c>
    </row>
    <row r="37" spans="1:12" ht="94.5" x14ac:dyDescent="0.2">
      <c r="A37" s="74" t="s">
        <v>0</v>
      </c>
      <c r="B37" s="69" t="s">
        <v>53</v>
      </c>
      <c r="C37" s="69" t="s">
        <v>22</v>
      </c>
      <c r="D37" s="69" t="s">
        <v>43</v>
      </c>
      <c r="E37" s="85" t="s">
        <v>235</v>
      </c>
      <c r="F37" s="69" t="s">
        <v>9</v>
      </c>
      <c r="G37" s="69"/>
      <c r="H37" s="69"/>
      <c r="I37" s="69" t="s">
        <v>236</v>
      </c>
      <c r="J37" s="69" t="s">
        <v>237</v>
      </c>
      <c r="K37" s="81">
        <v>35</v>
      </c>
      <c r="L37" s="82">
        <f>LEN(I37)</f>
        <v>255</v>
      </c>
    </row>
    <row r="38" spans="1:12" ht="94.5" x14ac:dyDescent="0.2">
      <c r="A38" s="74" t="s">
        <v>0</v>
      </c>
      <c r="B38" s="69" t="s">
        <v>53</v>
      </c>
      <c r="C38" s="69" t="s">
        <v>22</v>
      </c>
      <c r="D38" s="69" t="s">
        <v>43</v>
      </c>
      <c r="E38" s="70" t="s">
        <v>235</v>
      </c>
      <c r="F38" s="70" t="s">
        <v>9</v>
      </c>
      <c r="G38" s="69"/>
      <c r="H38" s="69"/>
      <c r="I38" s="69" t="s">
        <v>238</v>
      </c>
      <c r="J38" s="69" t="s">
        <v>239</v>
      </c>
      <c r="K38" s="81">
        <v>36</v>
      </c>
      <c r="L38" s="82">
        <f>LEN(I38)</f>
        <v>255</v>
      </c>
    </row>
    <row r="39" spans="1:12" s="71" customFormat="1" ht="47.25" x14ac:dyDescent="0.2">
      <c r="A39" s="74" t="s">
        <v>0</v>
      </c>
      <c r="B39" s="69" t="s">
        <v>53</v>
      </c>
      <c r="C39" s="69" t="s">
        <v>22</v>
      </c>
      <c r="D39" s="69" t="s">
        <v>45</v>
      </c>
      <c r="E39" s="69" t="s">
        <v>8</v>
      </c>
      <c r="F39" s="69" t="s">
        <v>9</v>
      </c>
      <c r="G39" s="69"/>
      <c r="H39" s="69"/>
      <c r="I39" s="69" t="s">
        <v>240</v>
      </c>
      <c r="J39" s="69" t="s">
        <v>241</v>
      </c>
      <c r="K39" s="81">
        <v>37</v>
      </c>
      <c r="L39" s="82">
        <f>LEN(I39)</f>
        <v>130</v>
      </c>
    </row>
    <row r="40" spans="1:12" s="71" customFormat="1" ht="63" x14ac:dyDescent="0.2">
      <c r="A40" s="75" t="s">
        <v>267</v>
      </c>
      <c r="B40" s="69" t="s">
        <v>53</v>
      </c>
      <c r="C40" s="69" t="s">
        <v>22</v>
      </c>
      <c r="D40" s="70" t="s">
        <v>284</v>
      </c>
      <c r="E40" s="69" t="s">
        <v>4</v>
      </c>
      <c r="F40" s="69" t="s">
        <v>5</v>
      </c>
      <c r="G40" s="69"/>
      <c r="H40" s="69"/>
      <c r="I40" s="69" t="s">
        <v>242</v>
      </c>
      <c r="J40" s="69" t="s">
        <v>243</v>
      </c>
      <c r="K40" s="81">
        <v>38</v>
      </c>
      <c r="L40" s="82">
        <f>LEN(I40)</f>
        <v>211</v>
      </c>
    </row>
    <row r="41" spans="1:12" s="71" customFormat="1" ht="63" x14ac:dyDescent="0.2">
      <c r="A41" s="74" t="s">
        <v>0</v>
      </c>
      <c r="B41" s="69" t="s">
        <v>53</v>
      </c>
      <c r="C41" s="69" t="s">
        <v>22</v>
      </c>
      <c r="D41" s="69" t="s">
        <v>286</v>
      </c>
      <c r="E41" s="70" t="s">
        <v>289</v>
      </c>
      <c r="F41" s="69" t="s">
        <v>3</v>
      </c>
      <c r="G41" s="69"/>
      <c r="H41" s="69"/>
      <c r="I41" s="69" t="s">
        <v>244</v>
      </c>
      <c r="J41" s="69" t="s">
        <v>245</v>
      </c>
      <c r="K41" s="81">
        <v>39</v>
      </c>
      <c r="L41" s="82">
        <f>LEN(I41)</f>
        <v>221</v>
      </c>
    </row>
    <row r="42" spans="1:12" s="71" customFormat="1" ht="63" x14ac:dyDescent="0.2">
      <c r="A42" s="74" t="s">
        <v>0</v>
      </c>
      <c r="B42" s="69" t="s">
        <v>53</v>
      </c>
      <c r="C42" s="69" t="s">
        <v>22</v>
      </c>
      <c r="D42" s="70" t="s">
        <v>44</v>
      </c>
      <c r="E42" s="69" t="s">
        <v>2</v>
      </c>
      <c r="F42" s="69"/>
      <c r="G42" s="69"/>
      <c r="H42" s="69"/>
      <c r="I42" s="72" t="s">
        <v>246</v>
      </c>
      <c r="J42" s="69" t="s">
        <v>247</v>
      </c>
      <c r="K42" s="81">
        <v>40</v>
      </c>
      <c r="L42" s="82">
        <f>LEN(I42)</f>
        <v>173</v>
      </c>
    </row>
    <row r="43" spans="1:12" ht="63" x14ac:dyDescent="0.2">
      <c r="A43" s="88" t="s">
        <v>19</v>
      </c>
      <c r="B43" s="85" t="s">
        <v>53</v>
      </c>
      <c r="C43" s="85" t="s">
        <v>23</v>
      </c>
      <c r="D43" s="85" t="s">
        <v>47</v>
      </c>
      <c r="E43" s="85" t="s">
        <v>4</v>
      </c>
      <c r="F43" s="85" t="s">
        <v>5</v>
      </c>
      <c r="G43" s="85"/>
      <c r="H43" s="85" t="s">
        <v>24</v>
      </c>
      <c r="I43" s="85" t="s">
        <v>248</v>
      </c>
      <c r="J43" s="85" t="s">
        <v>248</v>
      </c>
      <c r="K43" s="81">
        <v>41</v>
      </c>
      <c r="L43" s="82">
        <f>LEN(I43)</f>
        <v>221</v>
      </c>
    </row>
    <row r="44" spans="1:12" s="71" customFormat="1" ht="78.75" x14ac:dyDescent="0.2">
      <c r="A44" s="74" t="s">
        <v>0</v>
      </c>
      <c r="B44" s="69" t="s">
        <v>53</v>
      </c>
      <c r="C44" s="69" t="s">
        <v>22</v>
      </c>
      <c r="D44" s="69" t="s">
        <v>287</v>
      </c>
      <c r="E44" s="69" t="s">
        <v>2</v>
      </c>
      <c r="F44" s="69"/>
      <c r="G44" s="69"/>
      <c r="H44" s="69"/>
      <c r="I44" s="72" t="s">
        <v>249</v>
      </c>
      <c r="J44" s="69" t="s">
        <v>250</v>
      </c>
      <c r="K44" s="81">
        <v>42</v>
      </c>
      <c r="L44" s="82">
        <f>LEN(I44)</f>
        <v>223</v>
      </c>
    </row>
    <row r="45" spans="1:12" ht="31.5" x14ac:dyDescent="0.2">
      <c r="A45" s="74" t="s">
        <v>19</v>
      </c>
      <c r="B45" s="69" t="s">
        <v>53</v>
      </c>
      <c r="C45" s="69" t="s">
        <v>192</v>
      </c>
      <c r="D45" s="69" t="s">
        <v>46</v>
      </c>
      <c r="E45" s="69" t="s">
        <v>22</v>
      </c>
      <c r="F45" s="69" t="s">
        <v>5</v>
      </c>
      <c r="G45" s="69"/>
      <c r="H45" s="69"/>
      <c r="I45" s="69" t="s">
        <v>251</v>
      </c>
      <c r="J45" s="69" t="s">
        <v>252</v>
      </c>
      <c r="K45" s="81">
        <v>43</v>
      </c>
      <c r="L45" s="82">
        <f>LEN(I45)</f>
        <v>114</v>
      </c>
    </row>
    <row r="46" spans="1:12" s="71" customFormat="1" ht="110.25" x14ac:dyDescent="0.2">
      <c r="A46" s="74" t="s">
        <v>0</v>
      </c>
      <c r="B46" s="69" t="s">
        <v>53</v>
      </c>
      <c r="C46" s="69" t="s">
        <v>22</v>
      </c>
      <c r="D46" s="85" t="s">
        <v>288</v>
      </c>
      <c r="E46" s="85" t="s">
        <v>7</v>
      </c>
      <c r="F46" s="85" t="s">
        <v>253</v>
      </c>
      <c r="G46" s="69"/>
      <c r="H46" s="69"/>
      <c r="I46" s="69" t="s">
        <v>254</v>
      </c>
      <c r="J46" s="69" t="s">
        <v>255</v>
      </c>
      <c r="K46" s="81">
        <v>44</v>
      </c>
      <c r="L46" s="82">
        <f>LEN(I46)</f>
        <v>127</v>
      </c>
    </row>
    <row r="47" spans="1:12" s="71" customFormat="1" ht="110.25" x14ac:dyDescent="0.2">
      <c r="A47" s="88" t="s">
        <v>0</v>
      </c>
      <c r="B47" s="85" t="s">
        <v>50</v>
      </c>
      <c r="C47" s="85" t="s">
        <v>22</v>
      </c>
      <c r="D47" s="85" t="s">
        <v>278</v>
      </c>
      <c r="E47" s="85" t="s">
        <v>7</v>
      </c>
      <c r="F47" s="85" t="s">
        <v>253</v>
      </c>
      <c r="G47" s="85"/>
      <c r="H47" s="70" t="s">
        <v>290</v>
      </c>
      <c r="I47" s="85" t="s">
        <v>256</v>
      </c>
      <c r="J47" s="85" t="s">
        <v>257</v>
      </c>
      <c r="K47" s="81">
        <v>45</v>
      </c>
      <c r="L47" s="82">
        <f>LEN(I47)</f>
        <v>161</v>
      </c>
    </row>
    <row r="48" spans="1:12" s="71" customFormat="1" ht="47.25" x14ac:dyDescent="0.2">
      <c r="A48" s="86" t="s">
        <v>267</v>
      </c>
      <c r="B48" s="85" t="s">
        <v>50</v>
      </c>
      <c r="C48" s="85" t="s">
        <v>258</v>
      </c>
      <c r="D48" s="85" t="s">
        <v>278</v>
      </c>
      <c r="E48" s="85" t="s">
        <v>20</v>
      </c>
      <c r="F48" s="85" t="s">
        <v>5</v>
      </c>
      <c r="G48" s="85"/>
      <c r="H48" s="85"/>
      <c r="I48" s="85" t="s">
        <v>259</v>
      </c>
      <c r="J48" s="85" t="s">
        <v>260</v>
      </c>
      <c r="K48" s="81">
        <v>46</v>
      </c>
      <c r="L48" s="82">
        <f>LEN(I48)</f>
        <v>123</v>
      </c>
    </row>
    <row r="49" spans="1:12" ht="47.25" x14ac:dyDescent="0.2">
      <c r="A49" s="87" t="s">
        <v>19</v>
      </c>
      <c r="B49" s="85" t="s">
        <v>48</v>
      </c>
      <c r="C49" s="85" t="s">
        <v>22</v>
      </c>
      <c r="D49" s="85" t="s">
        <v>56</v>
      </c>
      <c r="E49" s="85" t="s">
        <v>20</v>
      </c>
      <c r="F49" s="85" t="s">
        <v>5</v>
      </c>
      <c r="G49" s="85"/>
      <c r="H49" s="85"/>
      <c r="I49" s="85" t="s">
        <v>54</v>
      </c>
      <c r="J49" s="85" t="s">
        <v>55</v>
      </c>
      <c r="K49" s="81">
        <v>47</v>
      </c>
      <c r="L49" s="82">
        <f>LEN(I49)</f>
        <v>166</v>
      </c>
    </row>
    <row r="50" spans="1:12" ht="63" x14ac:dyDescent="0.2">
      <c r="A50" s="86" t="s">
        <v>267</v>
      </c>
      <c r="B50" s="85" t="s">
        <v>48</v>
      </c>
      <c r="C50" s="85" t="s">
        <v>192</v>
      </c>
      <c r="D50" s="85" t="s">
        <v>292</v>
      </c>
      <c r="E50" s="85" t="s">
        <v>4</v>
      </c>
      <c r="F50" s="85" t="s">
        <v>5</v>
      </c>
      <c r="G50" s="73"/>
      <c r="H50" s="73"/>
      <c r="I50" s="85" t="s">
        <v>261</v>
      </c>
      <c r="J50" s="85" t="s">
        <v>262</v>
      </c>
      <c r="K50" s="81">
        <v>48</v>
      </c>
      <c r="L50" s="82">
        <f>LEN(I50)</f>
        <v>107</v>
      </c>
    </row>
    <row r="51" spans="1:12" ht="47.25" x14ac:dyDescent="0.2">
      <c r="A51" s="88" t="s">
        <v>0</v>
      </c>
      <c r="B51" s="85" t="s">
        <v>53</v>
      </c>
      <c r="C51" s="85" t="s">
        <v>22</v>
      </c>
      <c r="D51" s="89" t="s">
        <v>285</v>
      </c>
      <c r="E51" s="70" t="s">
        <v>2</v>
      </c>
      <c r="F51" s="85" t="s">
        <v>9</v>
      </c>
      <c r="G51" s="73"/>
      <c r="H51" s="73"/>
      <c r="I51" s="85" t="s">
        <v>263</v>
      </c>
      <c r="J51" s="85" t="s">
        <v>264</v>
      </c>
      <c r="K51" s="81">
        <v>49</v>
      </c>
      <c r="L51" s="82">
        <f>LEN(I51)</f>
        <v>160</v>
      </c>
    </row>
    <row r="52" spans="1:12" ht="63" x14ac:dyDescent="0.2">
      <c r="A52" s="108" t="s">
        <v>19</v>
      </c>
      <c r="B52" s="90" t="s">
        <v>51</v>
      </c>
      <c r="C52" s="90" t="s">
        <v>22</v>
      </c>
      <c r="D52" s="109" t="s">
        <v>279</v>
      </c>
      <c r="E52" s="90" t="s">
        <v>8</v>
      </c>
      <c r="F52" s="90" t="s">
        <v>9</v>
      </c>
      <c r="G52" s="100"/>
      <c r="H52" s="100"/>
      <c r="I52" s="90" t="s">
        <v>265</v>
      </c>
      <c r="J52" s="90" t="s">
        <v>266</v>
      </c>
      <c r="K52" s="83">
        <v>50</v>
      </c>
      <c r="L52" s="84">
        <f>LEN(I52)</f>
        <v>188</v>
      </c>
    </row>
    <row r="53" spans="1:12" ht="78.75" x14ac:dyDescent="0.2">
      <c r="A53" s="76" t="s">
        <v>19</v>
      </c>
      <c r="B53" s="107" t="s">
        <v>298</v>
      </c>
      <c r="C53" s="70" t="s">
        <v>25</v>
      </c>
      <c r="D53" s="107" t="s">
        <v>299</v>
      </c>
      <c r="E53" s="70" t="s">
        <v>4</v>
      </c>
      <c r="F53" s="70" t="s">
        <v>5</v>
      </c>
      <c r="G53" s="107"/>
      <c r="H53" s="107"/>
      <c r="I53" s="107" t="s">
        <v>303</v>
      </c>
      <c r="J53" s="107" t="s">
        <v>307</v>
      </c>
      <c r="K53" s="98">
        <v>51</v>
      </c>
      <c r="L53" s="99">
        <f>LEN(I53)</f>
        <v>239</v>
      </c>
    </row>
    <row r="54" spans="1:12" ht="78.75" x14ac:dyDescent="0.2">
      <c r="A54" s="76" t="s">
        <v>19</v>
      </c>
      <c r="B54" s="107" t="s">
        <v>298</v>
      </c>
      <c r="C54" s="70" t="s">
        <v>25</v>
      </c>
      <c r="D54" s="107" t="s">
        <v>300</v>
      </c>
      <c r="E54" s="70" t="s">
        <v>4</v>
      </c>
      <c r="F54" s="70" t="s">
        <v>5</v>
      </c>
      <c r="G54" s="107"/>
      <c r="H54" s="107"/>
      <c r="I54" s="107" t="s">
        <v>309</v>
      </c>
      <c r="J54" s="107" t="s">
        <v>304</v>
      </c>
      <c r="K54" s="98">
        <v>52</v>
      </c>
      <c r="L54" s="99">
        <f>LEN(I54)</f>
        <v>255</v>
      </c>
    </row>
    <row r="55" spans="1:12" ht="78.75" x14ac:dyDescent="0.2">
      <c r="A55" s="76" t="s">
        <v>19</v>
      </c>
      <c r="B55" s="107" t="s">
        <v>298</v>
      </c>
      <c r="C55" s="70" t="s">
        <v>258</v>
      </c>
      <c r="D55" s="107" t="s">
        <v>301</v>
      </c>
      <c r="E55" s="70" t="s">
        <v>20</v>
      </c>
      <c r="F55" s="70" t="s">
        <v>5</v>
      </c>
      <c r="G55" s="107"/>
      <c r="H55" s="107"/>
      <c r="I55" s="107" t="s">
        <v>310</v>
      </c>
      <c r="J55" s="107" t="s">
        <v>308</v>
      </c>
      <c r="K55" s="98">
        <v>53</v>
      </c>
      <c r="L55" s="99">
        <f>LEN(I55)</f>
        <v>232</v>
      </c>
    </row>
    <row r="56" spans="1:12" ht="78.75" x14ac:dyDescent="0.2">
      <c r="A56" s="76" t="s">
        <v>19</v>
      </c>
      <c r="B56" s="107" t="s">
        <v>298</v>
      </c>
      <c r="C56" s="70" t="s">
        <v>258</v>
      </c>
      <c r="D56" s="107" t="s">
        <v>302</v>
      </c>
      <c r="E56" s="70" t="s">
        <v>20</v>
      </c>
      <c r="F56" s="70" t="s">
        <v>5</v>
      </c>
      <c r="G56" s="107"/>
      <c r="H56" s="107"/>
      <c r="I56" s="107" t="s">
        <v>306</v>
      </c>
      <c r="J56" s="107" t="s">
        <v>305</v>
      </c>
      <c r="K56" s="98">
        <v>54</v>
      </c>
      <c r="L56" s="99">
        <f>LEN(I56)</f>
        <v>248</v>
      </c>
    </row>
    <row r="57" spans="1:12" ht="47.25" x14ac:dyDescent="0.2">
      <c r="A57" s="110" t="s">
        <v>0</v>
      </c>
      <c r="B57" s="100" t="s">
        <v>48</v>
      </c>
      <c r="C57" s="100" t="s">
        <v>192</v>
      </c>
      <c r="D57" s="100" t="s">
        <v>319</v>
      </c>
      <c r="E57" s="100" t="s">
        <v>2</v>
      </c>
      <c r="F57" s="100" t="s">
        <v>3</v>
      </c>
      <c r="G57" s="100"/>
      <c r="H57" s="100"/>
      <c r="I57" s="100" t="s">
        <v>317</v>
      </c>
      <c r="J57" s="100" t="s">
        <v>318</v>
      </c>
      <c r="K57" s="83">
        <v>55</v>
      </c>
      <c r="L57" s="84">
        <f>LEN(I57)</f>
        <v>159</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J35"/>
  <sheetViews>
    <sheetView zoomScale="80" zoomScaleNormal="80" workbookViewId="0">
      <selection activeCell="B16" sqref="B16"/>
    </sheetView>
  </sheetViews>
  <sheetFormatPr defaultColWidth="14" defaultRowHeight="15.75" thickBottom="1" x14ac:dyDescent="0.25"/>
  <cols>
    <col min="1" max="1" width="30" style="43" bestFit="1" customWidth="1"/>
    <col min="2" max="2" width="37.42578125" style="29" customWidth="1"/>
    <col min="3" max="3" width="13.7109375" style="29" customWidth="1"/>
    <col min="4" max="4" width="23.85546875" style="44" bestFit="1" customWidth="1"/>
    <col min="5" max="5" width="30" style="44" bestFit="1" customWidth="1"/>
    <col min="6" max="6" width="0.42578125" style="44" customWidth="1"/>
    <col min="7" max="7" width="17.28515625" style="44" customWidth="1"/>
    <col min="8" max="8" width="34.85546875" style="44" customWidth="1"/>
    <col min="9" max="9" width="94.140625" style="29" bestFit="1" customWidth="1"/>
    <col min="10" max="10" width="2.140625" style="29" customWidth="1"/>
    <col min="11" max="16384" width="14" style="29"/>
  </cols>
  <sheetData>
    <row r="1" spans="1:10" s="4" customFormat="1" ht="35.25" customHeight="1" thickTop="1" thickBot="1" x14ac:dyDescent="0.25">
      <c r="A1" s="1" t="s">
        <v>29</v>
      </c>
      <c r="B1" s="1" t="s">
        <v>57</v>
      </c>
      <c r="C1" s="1" t="s">
        <v>58</v>
      </c>
      <c r="D1" s="2" t="s">
        <v>59</v>
      </c>
      <c r="E1" s="2" t="s">
        <v>16</v>
      </c>
      <c r="F1" s="2" t="s">
        <v>60</v>
      </c>
      <c r="G1" s="2" t="s">
        <v>61</v>
      </c>
      <c r="H1" s="2" t="s">
        <v>62</v>
      </c>
      <c r="I1" s="2" t="s">
        <v>63</v>
      </c>
      <c r="J1" s="3"/>
    </row>
    <row r="2" spans="1:10" s="9" customFormat="1" ht="39.75" thickTop="1" thickBot="1" x14ac:dyDescent="0.25">
      <c r="A2" s="101" t="s">
        <v>64</v>
      </c>
      <c r="B2" s="5" t="s">
        <v>65</v>
      </c>
      <c r="C2" s="6" t="s">
        <v>4</v>
      </c>
      <c r="D2" s="6" t="s">
        <v>5</v>
      </c>
      <c r="E2" s="6" t="s">
        <v>66</v>
      </c>
      <c r="F2" s="6" t="e">
        <f>SUM(LEN(#REF!))</f>
        <v>#REF!</v>
      </c>
      <c r="G2" s="6" t="s">
        <v>67</v>
      </c>
      <c r="H2" s="5" t="s">
        <v>68</v>
      </c>
      <c r="I2" s="7" t="s">
        <v>69</v>
      </c>
      <c r="J2" s="8"/>
    </row>
    <row r="3" spans="1:10" s="9" customFormat="1" ht="45" customHeight="1" thickTop="1" thickBot="1" x14ac:dyDescent="0.25">
      <c r="A3" s="101"/>
      <c r="B3" s="10" t="s">
        <v>70</v>
      </c>
      <c r="C3" s="11" t="s">
        <v>4</v>
      </c>
      <c r="D3" s="11" t="s">
        <v>5</v>
      </c>
      <c r="E3" s="11" t="s">
        <v>66</v>
      </c>
      <c r="F3" s="11" t="e">
        <f>SUM(LEN(#REF!))</f>
        <v>#REF!</v>
      </c>
      <c r="G3" s="11" t="s">
        <v>67</v>
      </c>
      <c r="H3" s="12" t="s">
        <v>68</v>
      </c>
      <c r="I3" s="13" t="s">
        <v>71</v>
      </c>
      <c r="J3" s="8"/>
    </row>
    <row r="4" spans="1:10" s="9" customFormat="1" ht="39.75" thickTop="1" thickBot="1" x14ac:dyDescent="0.25">
      <c r="A4" s="101"/>
      <c r="B4" s="6" t="s">
        <v>72</v>
      </c>
      <c r="C4" s="6" t="s">
        <v>4</v>
      </c>
      <c r="D4" s="6" t="s">
        <v>5</v>
      </c>
      <c r="E4" s="6" t="s">
        <v>73</v>
      </c>
      <c r="F4" s="6" t="e">
        <f>SUM(LEN(#REF!))</f>
        <v>#REF!</v>
      </c>
      <c r="G4" s="6" t="s">
        <v>67</v>
      </c>
      <c r="H4" s="5" t="s">
        <v>74</v>
      </c>
      <c r="I4" s="14" t="s">
        <v>75</v>
      </c>
      <c r="J4" s="8"/>
    </row>
    <row r="5" spans="1:10" s="9" customFormat="1" ht="65.25" thickTop="1" thickBot="1" x14ac:dyDescent="0.25">
      <c r="A5" s="101"/>
      <c r="B5" s="11" t="s">
        <v>76</v>
      </c>
      <c r="C5" s="11" t="s">
        <v>4</v>
      </c>
      <c r="D5" s="11" t="s">
        <v>5</v>
      </c>
      <c r="E5" s="11" t="s">
        <v>77</v>
      </c>
      <c r="F5" s="11" t="e">
        <f>SUM(LEN(#REF!))</f>
        <v>#REF!</v>
      </c>
      <c r="G5" s="11" t="s">
        <v>76</v>
      </c>
      <c r="H5" s="15" t="s">
        <v>78</v>
      </c>
      <c r="I5" s="16" t="s">
        <v>79</v>
      </c>
      <c r="J5" s="8"/>
    </row>
    <row r="6" spans="1:10" s="20" customFormat="1" ht="90.75" thickTop="1" thickBot="1" x14ac:dyDescent="0.25">
      <c r="A6" s="101"/>
      <c r="B6" s="6" t="s">
        <v>80</v>
      </c>
      <c r="C6" s="6"/>
      <c r="D6" s="6"/>
      <c r="E6" s="6"/>
      <c r="F6" s="6"/>
      <c r="G6" s="6"/>
      <c r="H6" s="17"/>
      <c r="I6" s="18" t="s">
        <v>81</v>
      </c>
      <c r="J6" s="19"/>
    </row>
    <row r="7" spans="1:10" s="9" customFormat="1" ht="116.25" thickTop="1" thickBot="1" x14ac:dyDescent="0.25">
      <c r="A7" s="101"/>
      <c r="B7" s="11" t="s">
        <v>82</v>
      </c>
      <c r="C7" s="11" t="s">
        <v>4</v>
      </c>
      <c r="D7" s="11" t="s">
        <v>5</v>
      </c>
      <c r="E7" s="11" t="s">
        <v>66</v>
      </c>
      <c r="F7" s="11" t="e">
        <f>SUM(LEN(#REF!))</f>
        <v>#REF!</v>
      </c>
      <c r="G7" s="11" t="s">
        <v>83</v>
      </c>
      <c r="H7" s="15" t="s">
        <v>84</v>
      </c>
      <c r="I7" s="16" t="s">
        <v>85</v>
      </c>
      <c r="J7" s="8"/>
    </row>
    <row r="8" spans="1:10" s="9" customFormat="1" ht="141.75" thickTop="1" thickBot="1" x14ac:dyDescent="0.25">
      <c r="A8" s="101"/>
      <c r="B8" s="6" t="s">
        <v>86</v>
      </c>
      <c r="C8" s="6" t="s">
        <v>4</v>
      </c>
      <c r="D8" s="6" t="s">
        <v>5</v>
      </c>
      <c r="E8" s="6" t="s">
        <v>77</v>
      </c>
      <c r="F8" s="6" t="e">
        <f>SUM(LEN(#REF!))</f>
        <v>#REF!</v>
      </c>
      <c r="G8" s="6" t="s">
        <v>87</v>
      </c>
      <c r="H8" s="17" t="s">
        <v>88</v>
      </c>
      <c r="I8" s="18" t="s">
        <v>89</v>
      </c>
      <c r="J8" s="8"/>
    </row>
    <row r="9" spans="1:10" s="25" customFormat="1" ht="61.9" customHeight="1" thickTop="1" thickBot="1" x14ac:dyDescent="0.25">
      <c r="A9" s="21" t="s">
        <v>90</v>
      </c>
      <c r="B9" s="11" t="s">
        <v>91</v>
      </c>
      <c r="C9" s="11" t="s">
        <v>20</v>
      </c>
      <c r="D9" s="11" t="s">
        <v>5</v>
      </c>
      <c r="E9" s="11" t="s">
        <v>92</v>
      </c>
      <c r="F9" s="11" t="e">
        <f>SUM(LEN(#REF!))</f>
        <v>#REF!</v>
      </c>
      <c r="G9" s="22" t="s">
        <v>93</v>
      </c>
      <c r="H9" s="15" t="s">
        <v>94</v>
      </c>
      <c r="I9" s="23" t="s">
        <v>95</v>
      </c>
      <c r="J9" s="24"/>
    </row>
    <row r="10" spans="1:10" s="25" customFormat="1" ht="52.5" thickTop="1" thickBot="1" x14ac:dyDescent="0.25">
      <c r="A10" s="102" t="s">
        <v>96</v>
      </c>
      <c r="B10" s="6" t="s">
        <v>97</v>
      </c>
      <c r="C10" s="6" t="s">
        <v>4</v>
      </c>
      <c r="D10" s="6" t="s">
        <v>5</v>
      </c>
      <c r="E10" s="6" t="s">
        <v>98</v>
      </c>
      <c r="F10" s="6" t="e">
        <f>SUM(LEN(#REF!))</f>
        <v>#REF!</v>
      </c>
      <c r="G10" s="26" t="s">
        <v>93</v>
      </c>
      <c r="H10" s="17" t="s">
        <v>94</v>
      </c>
      <c r="I10" s="18" t="s">
        <v>99</v>
      </c>
      <c r="J10" s="24"/>
    </row>
    <row r="11" spans="1:10" s="25" customFormat="1" ht="52.5" thickTop="1" thickBot="1" x14ac:dyDescent="0.25">
      <c r="A11" s="102"/>
      <c r="B11" s="11" t="s">
        <v>100</v>
      </c>
      <c r="C11" s="11" t="s">
        <v>20</v>
      </c>
      <c r="D11" s="11" t="s">
        <v>101</v>
      </c>
      <c r="E11" s="11" t="s">
        <v>92</v>
      </c>
      <c r="F11" s="11" t="e">
        <f>SUM(LEN(#REF!))</f>
        <v>#REF!</v>
      </c>
      <c r="G11" s="22" t="s">
        <v>93</v>
      </c>
      <c r="H11" s="15" t="s">
        <v>94</v>
      </c>
      <c r="I11" s="13" t="s">
        <v>102</v>
      </c>
      <c r="J11" s="24"/>
    </row>
    <row r="12" spans="1:10" ht="52.5" thickTop="1" thickBot="1" x14ac:dyDescent="0.25">
      <c r="A12" s="102"/>
      <c r="B12" s="6" t="s">
        <v>103</v>
      </c>
      <c r="C12" s="27" t="s">
        <v>4</v>
      </c>
      <c r="D12" s="6" t="s">
        <v>5</v>
      </c>
      <c r="E12" s="6" t="s">
        <v>104</v>
      </c>
      <c r="F12" s="5"/>
      <c r="G12" s="26" t="s">
        <v>93</v>
      </c>
      <c r="H12" s="17" t="s">
        <v>105</v>
      </c>
      <c r="I12" s="14" t="s">
        <v>106</v>
      </c>
      <c r="J12" s="28"/>
    </row>
    <row r="13" spans="1:10" ht="52.5" thickTop="1" thickBot="1" x14ac:dyDescent="0.25">
      <c r="A13" s="103" t="s">
        <v>107</v>
      </c>
      <c r="B13" s="11" t="s">
        <v>108</v>
      </c>
      <c r="C13" s="11" t="s">
        <v>20</v>
      </c>
      <c r="D13" s="11" t="s">
        <v>5</v>
      </c>
      <c r="E13" s="11" t="s">
        <v>92</v>
      </c>
      <c r="F13" s="12"/>
      <c r="G13" s="22" t="s">
        <v>93</v>
      </c>
      <c r="H13" s="15" t="s">
        <v>109</v>
      </c>
      <c r="I13" s="13" t="s">
        <v>110</v>
      </c>
      <c r="J13" s="28"/>
    </row>
    <row r="14" spans="1:10" ht="52.5" thickTop="1" thickBot="1" x14ac:dyDescent="0.25">
      <c r="A14" s="103"/>
      <c r="B14" s="6" t="s">
        <v>111</v>
      </c>
      <c r="C14" s="6" t="s">
        <v>4</v>
      </c>
      <c r="D14" s="6" t="s">
        <v>5</v>
      </c>
      <c r="E14" s="6" t="s">
        <v>98</v>
      </c>
      <c r="F14" s="5"/>
      <c r="G14" s="26" t="s">
        <v>93</v>
      </c>
      <c r="H14" s="17" t="s">
        <v>112</v>
      </c>
      <c r="I14" s="14" t="s">
        <v>113</v>
      </c>
      <c r="J14" s="28"/>
    </row>
    <row r="15" spans="1:10" ht="52.5" thickTop="1" thickBot="1" x14ac:dyDescent="0.25">
      <c r="A15" s="103"/>
      <c r="B15" s="11" t="s">
        <v>114</v>
      </c>
      <c r="C15" s="30" t="s">
        <v>4</v>
      </c>
      <c r="D15" s="11" t="s">
        <v>5</v>
      </c>
      <c r="E15" s="11" t="s">
        <v>104</v>
      </c>
      <c r="F15" s="12"/>
      <c r="G15" s="22" t="s">
        <v>93</v>
      </c>
      <c r="H15" s="15" t="s">
        <v>115</v>
      </c>
      <c r="I15" s="16" t="s">
        <v>116</v>
      </c>
      <c r="J15" s="28"/>
    </row>
    <row r="16" spans="1:10" ht="16.5" customHeight="1" thickTop="1" thickBot="1" x14ac:dyDescent="0.25">
      <c r="A16" s="104" t="s">
        <v>117</v>
      </c>
      <c r="B16" s="31" t="s">
        <v>118</v>
      </c>
      <c r="C16" s="32"/>
      <c r="D16" s="33"/>
      <c r="E16" s="33"/>
      <c r="F16" s="33"/>
      <c r="G16" s="33"/>
      <c r="H16" s="33"/>
      <c r="I16" s="32"/>
      <c r="J16" s="34"/>
    </row>
    <row r="17" spans="1:10" ht="13.5" customHeight="1" thickBot="1" x14ac:dyDescent="0.25">
      <c r="A17" s="105"/>
      <c r="B17" s="31"/>
      <c r="C17" s="32"/>
      <c r="D17" s="33"/>
      <c r="E17" s="33"/>
      <c r="F17" s="33"/>
      <c r="G17" s="33"/>
      <c r="H17" s="33"/>
      <c r="I17" s="32"/>
      <c r="J17" s="34"/>
    </row>
    <row r="18" spans="1:10" ht="13.5" customHeight="1" thickBot="1" x14ac:dyDescent="0.25">
      <c r="A18" s="105"/>
      <c r="B18" s="31" t="s">
        <v>119</v>
      </c>
      <c r="C18" s="32"/>
      <c r="D18" s="33"/>
      <c r="E18" s="33"/>
      <c r="F18" s="33"/>
      <c r="G18" s="33"/>
      <c r="H18" s="33"/>
      <c r="I18" s="32"/>
      <c r="J18" s="34"/>
    </row>
    <row r="19" spans="1:10" ht="13.5" customHeight="1" thickBot="1" x14ac:dyDescent="0.25">
      <c r="A19" s="105"/>
      <c r="B19" s="31"/>
      <c r="C19" s="32"/>
      <c r="D19" s="33"/>
      <c r="E19" s="33"/>
      <c r="F19" s="33"/>
      <c r="G19" s="33"/>
      <c r="H19" s="33"/>
      <c r="I19" s="32"/>
      <c r="J19" s="34"/>
    </row>
    <row r="20" spans="1:10" ht="13.5" customHeight="1" thickBot="1" x14ac:dyDescent="0.25">
      <c r="A20" s="105"/>
      <c r="B20" s="31" t="s">
        <v>120</v>
      </c>
      <c r="C20" s="32"/>
      <c r="D20" s="33"/>
      <c r="E20" s="33"/>
      <c r="F20" s="33"/>
      <c r="G20" s="33"/>
      <c r="H20" s="33"/>
      <c r="I20" s="32"/>
      <c r="J20" s="34"/>
    </row>
    <row r="21" spans="1:10" ht="13.5" customHeight="1" thickBot="1" x14ac:dyDescent="0.25">
      <c r="A21" s="105"/>
      <c r="B21" s="31" t="s">
        <v>121</v>
      </c>
      <c r="C21" s="32"/>
      <c r="D21" s="33"/>
      <c r="E21" s="33"/>
      <c r="F21" s="33"/>
      <c r="G21" s="33"/>
      <c r="H21" s="33"/>
      <c r="I21" s="32"/>
      <c r="J21" s="34"/>
    </row>
    <row r="22" spans="1:10" ht="13.5" customHeight="1" thickBot="1" x14ac:dyDescent="0.25">
      <c r="A22" s="105"/>
      <c r="B22" s="31" t="s">
        <v>122</v>
      </c>
      <c r="C22" s="32"/>
      <c r="D22" s="33"/>
      <c r="E22" s="33"/>
      <c r="F22" s="33"/>
      <c r="G22" s="33"/>
      <c r="H22" s="33"/>
      <c r="I22" s="32"/>
      <c r="J22" s="34"/>
    </row>
    <row r="23" spans="1:10" ht="13.5" customHeight="1" thickBot="1" x14ac:dyDescent="0.25">
      <c r="A23" s="105"/>
      <c r="B23" s="31"/>
      <c r="C23" s="32"/>
      <c r="D23" s="33"/>
      <c r="E23" s="33"/>
      <c r="F23" s="33"/>
      <c r="G23" s="33"/>
      <c r="H23" s="33"/>
      <c r="I23" s="32"/>
      <c r="J23" s="34"/>
    </row>
    <row r="24" spans="1:10" ht="13.5" customHeight="1" thickBot="1" x14ac:dyDescent="0.25">
      <c r="A24" s="105"/>
      <c r="B24" s="35" t="s">
        <v>123</v>
      </c>
      <c r="C24" s="32"/>
      <c r="D24" s="33"/>
      <c r="E24" s="33"/>
      <c r="F24" s="33"/>
      <c r="G24" s="33"/>
      <c r="H24" s="33"/>
      <c r="I24" s="32"/>
      <c r="J24" s="34"/>
    </row>
    <row r="25" spans="1:10" ht="13.5" customHeight="1" thickBot="1" x14ac:dyDescent="0.25">
      <c r="A25" s="105"/>
      <c r="B25" s="36"/>
      <c r="C25" s="37"/>
      <c r="D25" s="38"/>
      <c r="E25" s="38"/>
      <c r="F25" s="38"/>
      <c r="G25" s="38"/>
      <c r="H25" s="39"/>
      <c r="I25" s="40"/>
      <c r="J25" s="34"/>
    </row>
    <row r="26" spans="1:10" ht="13.5" thickBot="1" x14ac:dyDescent="0.25">
      <c r="A26" s="105"/>
      <c r="B26" s="41" t="s">
        <v>124</v>
      </c>
      <c r="C26" s="40"/>
      <c r="D26" s="39"/>
      <c r="E26" s="39"/>
      <c r="F26" s="39"/>
      <c r="G26" s="39"/>
      <c r="H26" s="39"/>
      <c r="I26" s="40"/>
      <c r="J26" s="34"/>
    </row>
    <row r="27" spans="1:10" ht="13.5" thickBot="1" x14ac:dyDescent="0.25">
      <c r="A27" s="105"/>
      <c r="B27" s="41"/>
      <c r="C27" s="40"/>
      <c r="D27" s="39"/>
      <c r="E27" s="39"/>
      <c r="F27" s="39"/>
      <c r="G27" s="39"/>
      <c r="H27" s="39"/>
      <c r="I27" s="40"/>
      <c r="J27" s="34"/>
    </row>
    <row r="28" spans="1:10" ht="13.5" thickBot="1" x14ac:dyDescent="0.25">
      <c r="A28" s="105"/>
      <c r="B28" s="41" t="s">
        <v>119</v>
      </c>
      <c r="C28" s="40"/>
      <c r="D28" s="39"/>
      <c r="E28" s="39"/>
      <c r="F28" s="39"/>
      <c r="G28" s="39"/>
      <c r="H28" s="39"/>
      <c r="I28" s="40"/>
      <c r="J28" s="34"/>
    </row>
    <row r="29" spans="1:10" ht="13.5" thickBot="1" x14ac:dyDescent="0.25">
      <c r="A29" s="105"/>
      <c r="B29" s="41"/>
      <c r="C29" s="40"/>
      <c r="D29" s="39"/>
      <c r="E29" s="39"/>
      <c r="F29" s="39"/>
      <c r="G29" s="39"/>
      <c r="H29" s="39"/>
      <c r="I29" s="40"/>
      <c r="J29" s="34"/>
    </row>
    <row r="30" spans="1:10" ht="13.5" thickBot="1" x14ac:dyDescent="0.25">
      <c r="A30" s="105"/>
      <c r="B30" s="41" t="s">
        <v>125</v>
      </c>
      <c r="C30" s="40"/>
      <c r="D30" s="39"/>
      <c r="E30" s="39"/>
      <c r="F30" s="39"/>
      <c r="G30" s="39"/>
      <c r="H30" s="39"/>
      <c r="I30" s="40"/>
      <c r="J30" s="34"/>
    </row>
    <row r="31" spans="1:10" ht="13.5" thickBot="1" x14ac:dyDescent="0.25">
      <c r="A31" s="105"/>
      <c r="B31" s="41" t="s">
        <v>126</v>
      </c>
      <c r="C31" s="40"/>
      <c r="D31" s="39"/>
      <c r="E31" s="39"/>
      <c r="F31" s="39"/>
      <c r="G31" s="39"/>
      <c r="H31" s="39"/>
      <c r="I31" s="40"/>
      <c r="J31" s="34"/>
    </row>
    <row r="32" spans="1:10" ht="13.5" thickBot="1" x14ac:dyDescent="0.25">
      <c r="A32" s="105"/>
      <c r="B32" s="41"/>
      <c r="C32" s="40"/>
      <c r="D32" s="39"/>
      <c r="E32" s="39"/>
      <c r="F32" s="39"/>
      <c r="G32" s="39"/>
      <c r="H32" s="39"/>
      <c r="I32" s="40"/>
      <c r="J32" s="34"/>
    </row>
    <row r="33" spans="1:10" ht="13.5" thickBot="1" x14ac:dyDescent="0.25">
      <c r="A33" s="105"/>
      <c r="B33" s="41" t="s">
        <v>123</v>
      </c>
      <c r="C33" s="40"/>
      <c r="D33" s="39"/>
      <c r="E33" s="39"/>
      <c r="F33" s="39"/>
      <c r="G33" s="39"/>
      <c r="H33" s="39"/>
      <c r="I33" s="40"/>
      <c r="J33" s="34"/>
    </row>
    <row r="34" spans="1:10" ht="13.5" thickBot="1" x14ac:dyDescent="0.25">
      <c r="A34" s="105"/>
      <c r="B34" s="42"/>
      <c r="C34" s="40"/>
      <c r="D34" s="39"/>
      <c r="E34" s="39"/>
      <c r="F34" s="39"/>
      <c r="G34" s="39"/>
      <c r="H34" s="39"/>
      <c r="I34" s="40"/>
      <c r="J34" s="34"/>
    </row>
    <row r="35" spans="1:10" ht="13.5" thickBot="1" x14ac:dyDescent="0.25">
      <c r="A35" s="106"/>
      <c r="B35" s="41" t="s">
        <v>127</v>
      </c>
      <c r="C35" s="40"/>
      <c r="D35" s="39"/>
      <c r="E35" s="39"/>
      <c r="F35" s="39"/>
      <c r="G35" s="39"/>
      <c r="H35" s="39"/>
      <c r="I35" s="40"/>
      <c r="J35" s="34"/>
    </row>
  </sheetData>
  <mergeCells count="4">
    <mergeCell ref="A2:A8"/>
    <mergeCell ref="A10:A12"/>
    <mergeCell ref="A13:A15"/>
    <mergeCell ref="A16:A35"/>
  </mergeCells>
  <hyperlinks>
    <hyperlink ref="B33" r:id="rId1" display="https://www.alianca.com.br/alianca/en/alianca/company_information/brazil_alianca/dailypositions_brazil_bra/dailypositions_cutoffs.html"/>
    <hyperlink ref="B24" r:id="rId2" display="https://www.alianca.com.br/alianca/en/alianca/company_information/brazil_alianca/dailypositions_brazil_bra/dailypositions_cutoffs.html"/>
  </hyperlinks>
  <pageMargins left="0.511811024" right="0.511811024" top="0.78740157499999996" bottom="0.78740157499999996" header="0.31496062000000002" footer="0.31496062000000002"/>
  <pageSetup paperSize="9"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A50"/>
  <sheetViews>
    <sheetView showGridLines="0" zoomScale="90" zoomScaleNormal="90" workbookViewId="0">
      <selection activeCell="A18" sqref="A18"/>
    </sheetView>
  </sheetViews>
  <sheetFormatPr defaultRowHeight="12.75" x14ac:dyDescent="0.2"/>
  <cols>
    <col min="1" max="1" width="212.7109375" customWidth="1"/>
  </cols>
  <sheetData>
    <row r="1" spans="1:1" ht="18" x14ac:dyDescent="0.2">
      <c r="A1" s="45"/>
    </row>
    <row r="2" spans="1:1" ht="15" x14ac:dyDescent="0.2">
      <c r="A2" s="46" t="s">
        <v>128</v>
      </c>
    </row>
    <row r="3" spans="1:1" ht="14.25" x14ac:dyDescent="0.2">
      <c r="A3" s="47"/>
    </row>
    <row r="4" spans="1:1" ht="15" x14ac:dyDescent="0.2">
      <c r="A4" s="48" t="s">
        <v>129</v>
      </c>
    </row>
    <row r="5" spans="1:1" ht="14.25" x14ac:dyDescent="0.2">
      <c r="A5" s="49"/>
    </row>
    <row r="6" spans="1:1" ht="14.25" x14ac:dyDescent="0.2">
      <c r="A6" s="50" t="s">
        <v>130</v>
      </c>
    </row>
    <row r="7" spans="1:1" ht="15" x14ac:dyDescent="0.2">
      <c r="A7" s="51" t="s">
        <v>131</v>
      </c>
    </row>
    <row r="8" spans="1:1" ht="14.25" x14ac:dyDescent="0.2">
      <c r="A8" s="52"/>
    </row>
    <row r="9" spans="1:1" ht="15" x14ac:dyDescent="0.2">
      <c r="A9" s="51" t="s">
        <v>132</v>
      </c>
    </row>
    <row r="10" spans="1:1" ht="14.25" x14ac:dyDescent="0.2">
      <c r="A10" s="53" t="s">
        <v>133</v>
      </c>
    </row>
    <row r="11" spans="1:1" ht="14.25" x14ac:dyDescent="0.2">
      <c r="A11" s="53" t="s">
        <v>134</v>
      </c>
    </row>
    <row r="12" spans="1:1" ht="14.25" x14ac:dyDescent="0.2">
      <c r="A12" s="54"/>
    </row>
    <row r="13" spans="1:1" ht="14.25" x14ac:dyDescent="0.2">
      <c r="A13" s="55" t="s">
        <v>135</v>
      </c>
    </row>
    <row r="14" spans="1:1" ht="15" x14ac:dyDescent="0.2">
      <c r="A14" s="56" t="s">
        <v>136</v>
      </c>
    </row>
    <row r="15" spans="1:1" ht="15" x14ac:dyDescent="0.2">
      <c r="A15" s="56" t="s">
        <v>137</v>
      </c>
    </row>
    <row r="16" spans="1:1" ht="15.75" x14ac:dyDescent="0.2">
      <c r="A16" s="57" t="s">
        <v>138</v>
      </c>
    </row>
    <row r="17" spans="1:1" ht="14.25" x14ac:dyDescent="0.2">
      <c r="A17" s="58"/>
    </row>
    <row r="18" spans="1:1" ht="25.5" x14ac:dyDescent="0.2">
      <c r="A18" s="59" t="s">
        <v>139</v>
      </c>
    </row>
    <row r="19" spans="1:1" ht="14.25" x14ac:dyDescent="0.2">
      <c r="A19" s="60"/>
    </row>
    <row r="20" spans="1:1" ht="15" x14ac:dyDescent="0.2">
      <c r="A20" s="61" t="s">
        <v>140</v>
      </c>
    </row>
    <row r="21" spans="1:1" ht="15" x14ac:dyDescent="0.2">
      <c r="A21" s="62" t="s">
        <v>141</v>
      </c>
    </row>
    <row r="22" spans="1:1" ht="14.25" x14ac:dyDescent="0.2">
      <c r="A22" s="47"/>
    </row>
    <row r="23" spans="1:1" ht="15" x14ac:dyDescent="0.2">
      <c r="A23" s="60" t="s">
        <v>142</v>
      </c>
    </row>
    <row r="24" spans="1:1" ht="14.25" x14ac:dyDescent="0.2">
      <c r="A24" s="49"/>
    </row>
    <row r="25" spans="1:1" ht="15.75" x14ac:dyDescent="0.2">
      <c r="A25" s="52" t="s">
        <v>143</v>
      </c>
    </row>
    <row r="26" spans="1:1" ht="15" x14ac:dyDescent="0.2">
      <c r="A26" s="62"/>
    </row>
    <row r="27" spans="1:1" ht="15" x14ac:dyDescent="0.2">
      <c r="A27" s="63"/>
    </row>
    <row r="28" spans="1:1" ht="15" x14ac:dyDescent="0.2">
      <c r="A28" s="46" t="s">
        <v>144</v>
      </c>
    </row>
    <row r="29" spans="1:1" ht="15" x14ac:dyDescent="0.2">
      <c r="A29" s="63"/>
    </row>
    <row r="30" spans="1:1" ht="15" x14ac:dyDescent="0.2">
      <c r="A30" s="64" t="s">
        <v>145</v>
      </c>
    </row>
    <row r="31" spans="1:1" ht="15" x14ac:dyDescent="0.2">
      <c r="A31" s="64" t="s">
        <v>146</v>
      </c>
    </row>
    <row r="32" spans="1:1" ht="15" x14ac:dyDescent="0.2">
      <c r="A32" s="64" t="s">
        <v>147</v>
      </c>
    </row>
    <row r="33" spans="1:1" ht="15" x14ac:dyDescent="0.2">
      <c r="A33" s="64"/>
    </row>
    <row r="34" spans="1:1" ht="15" x14ac:dyDescent="0.2">
      <c r="A34" s="64"/>
    </row>
    <row r="35" spans="1:1" ht="15" x14ac:dyDescent="0.2">
      <c r="A35" s="64" t="s">
        <v>148</v>
      </c>
    </row>
    <row r="36" spans="1:1" ht="15" x14ac:dyDescent="0.2">
      <c r="A36" s="64"/>
    </row>
    <row r="37" spans="1:1" ht="15" x14ac:dyDescent="0.2">
      <c r="A37" s="64" t="s">
        <v>149</v>
      </c>
    </row>
    <row r="38" spans="1:1" ht="15" x14ac:dyDescent="0.2">
      <c r="A38" s="64" t="s">
        <v>150</v>
      </c>
    </row>
    <row r="39" spans="1:1" ht="15" x14ac:dyDescent="0.2">
      <c r="A39" s="64" t="s">
        <v>151</v>
      </c>
    </row>
    <row r="40" spans="1:1" ht="15" x14ac:dyDescent="0.2">
      <c r="A40" s="64" t="s">
        <v>152</v>
      </c>
    </row>
    <row r="41" spans="1:1" ht="15" x14ac:dyDescent="0.2">
      <c r="A41" s="64"/>
    </row>
    <row r="42" spans="1:1" ht="15" x14ac:dyDescent="0.2">
      <c r="A42" s="64" t="s">
        <v>153</v>
      </c>
    </row>
    <row r="43" spans="1:1" ht="15" x14ac:dyDescent="0.2">
      <c r="A43" s="64"/>
    </row>
    <row r="44" spans="1:1" ht="15" x14ac:dyDescent="0.2">
      <c r="A44" s="64" t="s">
        <v>154</v>
      </c>
    </row>
    <row r="45" spans="1:1" ht="15" x14ac:dyDescent="0.2">
      <c r="A45" s="64" t="s">
        <v>155</v>
      </c>
    </row>
    <row r="46" spans="1:1" ht="15" x14ac:dyDescent="0.2">
      <c r="A46" s="64" t="s">
        <v>156</v>
      </c>
    </row>
    <row r="47" spans="1:1" ht="15" x14ac:dyDescent="0.2">
      <c r="A47" s="64" t="s">
        <v>157</v>
      </c>
    </row>
    <row r="48" spans="1:1" ht="15" x14ac:dyDescent="0.2">
      <c r="A48" s="64" t="s">
        <v>158</v>
      </c>
    </row>
    <row r="49" spans="1:1" ht="15" x14ac:dyDescent="0.2">
      <c r="A49" s="64"/>
    </row>
    <row r="50" spans="1:1" ht="45" x14ac:dyDescent="0.2">
      <c r="A50" s="65" t="s">
        <v>159</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4</vt:i4>
      </vt:variant>
    </vt:vector>
  </HeadingPairs>
  <TitlesOfParts>
    <vt:vector size="4" baseType="lpstr">
      <vt:lpstr>Booking Dinamica</vt:lpstr>
      <vt:lpstr>Booking</vt:lpstr>
      <vt:lpstr>Vessel </vt:lpstr>
      <vt:lpstr>Imo Cargo - Carga Aprovada</vt:lpstr>
    </vt:vector>
  </TitlesOfParts>
  <Company>HSDG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Beltrao, Clarice</dc:creator>
  <cp:lastModifiedBy>Costa, Joao</cp:lastModifiedBy>
  <cp:lastPrinted>2019-07-08T18:03:50Z</cp:lastPrinted>
  <dcterms:created xsi:type="dcterms:W3CDTF">2019-06-13T12:58:39Z</dcterms:created>
  <dcterms:modified xsi:type="dcterms:W3CDTF">2019-12-13T18:33:28Z</dcterms:modified>
</cp:coreProperties>
</file>